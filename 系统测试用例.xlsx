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Information" sheetId="7" r:id="rId1"/>
    <sheet name="Test Cases" sheetId="8" r:id="rId2"/>
    <sheet name="常用测试方法" sheetId="3" r:id="rId3"/>
  </sheets>
  <definedNames>
    <definedName name="安装测试用例常用测试项">常用测试方法!#REF!</definedName>
    <definedName name="单元测试用例常用测试项">常用测试方法!#REF!</definedName>
    <definedName name="功能测试用例常用测试项">常用测试方法!#REF!</definedName>
    <definedName name="界面测试用例常用测试项">常用测试方法!#REF!</definedName>
    <definedName name="压力测试用例常用测试项">常用测试方法!#REF!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<sst xmlns="http://schemas.openxmlformats.org/spreadsheetml/2006/main" count="883" uniqueCount="606">
  <si>
    <t>Shanghai Jiao Tong University
上海交通大学 
上海市闵行区东川路800号</t>
  </si>
  <si>
    <t>项目名称
Project Name</t>
  </si>
  <si>
    <t>密级
Confidentiality Level</t>
  </si>
  <si>
    <t>BioNote--生物实验记录协作平台</t>
  </si>
  <si>
    <t>仅供收件方查阅</t>
  </si>
  <si>
    <t>项目编号
Project ID</t>
  </si>
  <si>
    <t>版本
version</t>
  </si>
  <si>
    <r>
      <rPr>
        <sz val="12"/>
        <rFont val="宋体"/>
        <charset val="134"/>
      </rPr>
      <t xml:space="preserve">文档编号
</t>
    </r>
    <r>
      <rPr>
        <sz val="12"/>
        <rFont val="Times New Roman"/>
        <charset val="134"/>
      </rPr>
      <t>Document Code</t>
    </r>
  </si>
  <si>
    <t>3.0</t>
  </si>
  <si>
    <t>System Test Case Form
系统测试用例</t>
  </si>
  <si>
    <r>
      <rPr>
        <sz val="12"/>
        <rFont val="Times New Roman"/>
        <charset val="134"/>
      </rPr>
      <t xml:space="preserve">Prepared by 
</t>
    </r>
    <r>
      <rPr>
        <sz val="12"/>
        <rFont val="宋体"/>
        <charset val="134"/>
      </rPr>
      <t>拟制</t>
    </r>
  </si>
  <si>
    <t>金钰豪</t>
  </si>
  <si>
    <r>
      <rPr>
        <sz val="12"/>
        <rFont val="Times New Roman"/>
        <charset val="134"/>
      </rPr>
      <t xml:space="preserve">Date
</t>
    </r>
    <r>
      <rPr>
        <sz val="12"/>
        <rFont val="宋体"/>
        <charset val="134"/>
      </rPr>
      <t>日期</t>
    </r>
  </si>
  <si>
    <t>2026.07.28</t>
  </si>
  <si>
    <r>
      <rPr>
        <sz val="12"/>
        <rFont val="Times New Roman"/>
        <charset val="134"/>
      </rPr>
      <t xml:space="preserve">Reviewed by 
</t>
    </r>
    <r>
      <rPr>
        <sz val="12"/>
        <rFont val="宋体"/>
        <charset val="134"/>
      </rPr>
      <t>评审人</t>
    </r>
  </si>
  <si>
    <t>谭昊</t>
  </si>
  <si>
    <r>
      <rPr>
        <sz val="12"/>
        <rFont val="Times New Roman"/>
        <charset val="134"/>
      </rPr>
      <t xml:space="preserve">Approved by
</t>
    </r>
    <r>
      <rPr>
        <sz val="12"/>
        <rFont val="宋体"/>
        <charset val="134"/>
      </rPr>
      <t>批准</t>
    </r>
  </si>
  <si>
    <t>桂寅瑞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</si>
  <si>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</si>
  <si>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
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</si>
  <si>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</si>
  <si>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 xml:space="preserve">Change Description
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</si>
  <si>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
 </t>
    </r>
    <r>
      <rPr>
        <sz val="12"/>
        <rFont val="宋体"/>
        <charset val="134"/>
      </rPr>
      <t>作者</t>
    </r>
  </si>
  <si>
    <t>1.0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</si>
  <si>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</si>
  <si>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t>2.0</t>
  </si>
  <si>
    <t>简化了测试方法的内容</t>
  </si>
  <si>
    <t>修改了测试用例的条目</t>
  </si>
  <si>
    <t>测试结果分析</t>
  </si>
  <si>
    <t>类别</t>
  </si>
  <si>
    <t>用例数</t>
  </si>
  <si>
    <t>通过数</t>
  </si>
  <si>
    <t>通过率</t>
  </si>
  <si>
    <t>功能测试</t>
  </si>
  <si>
    <t>性能测试</t>
  </si>
  <si>
    <t>可靠性测试</t>
  </si>
  <si>
    <t>安全性测试</t>
  </si>
  <si>
    <t>兼容性测试</t>
  </si>
  <si>
    <t>易用性测试</t>
  </si>
  <si>
    <t>部署测试</t>
  </si>
  <si>
    <t>合计</t>
  </si>
  <si>
    <t>测试用例详情</t>
  </si>
  <si>
    <t>常用测试方法!A1</t>
  </si>
  <si>
    <r>
      <rPr>
        <b/>
        <sz val="20"/>
        <rFont val="宋体"/>
        <charset val="134"/>
      </rPr>
      <t>测试用例</t>
    </r>
    <r>
      <rPr>
        <b/>
        <sz val="20"/>
        <rFont val="Times New Roman"/>
        <charset val="134"/>
      </rPr>
      <t xml:space="preserve"> </t>
    </r>
  </si>
  <si>
    <r>
      <rPr>
        <b/>
        <sz val="12"/>
        <color theme="0"/>
        <rFont val="Times New Roman"/>
        <charset val="134"/>
      </rPr>
      <t xml:space="preserve">Test Case ID
 </t>
    </r>
    <r>
      <rPr>
        <b/>
        <sz val="12"/>
        <color theme="0"/>
        <rFont val="宋体"/>
        <charset val="134"/>
      </rPr>
      <t>测试用例编号</t>
    </r>
  </si>
  <si>
    <r>
      <rPr>
        <b/>
        <sz val="12"/>
        <color theme="0"/>
        <rFont val="Times New Roman"/>
        <charset val="134"/>
      </rPr>
      <t xml:space="preserve">Test Item 
</t>
    </r>
    <r>
      <rPr>
        <b/>
        <sz val="12"/>
        <color theme="0"/>
        <rFont val="宋体"/>
        <charset val="134"/>
      </rPr>
      <t>测试项</t>
    </r>
  </si>
  <si>
    <r>
      <rPr>
        <b/>
        <sz val="12"/>
        <color theme="0"/>
        <rFont val="Times New Roman"/>
        <charset val="134"/>
      </rPr>
      <t xml:space="preserve">Test Type
</t>
    </r>
    <r>
      <rPr>
        <b/>
        <sz val="12"/>
        <color theme="0"/>
        <rFont val="宋体"/>
        <charset val="134"/>
      </rPr>
      <t>测试类型</t>
    </r>
  </si>
  <si>
    <r>
      <rPr>
        <b/>
        <sz val="12"/>
        <color theme="0"/>
        <rFont val="Times New Roman"/>
        <charset val="134"/>
      </rPr>
      <t xml:space="preserve">Test Case Title 
</t>
    </r>
    <r>
      <rPr>
        <b/>
        <sz val="12"/>
        <color theme="0"/>
        <rFont val="宋体"/>
        <charset val="134"/>
      </rPr>
      <t>测试用例标题</t>
    </r>
  </si>
  <si>
    <r>
      <rPr>
        <b/>
        <sz val="12"/>
        <color theme="0"/>
        <rFont val="Times New Roman"/>
        <charset val="134"/>
      </rPr>
      <t xml:space="preserve">Test Criticality
</t>
    </r>
    <r>
      <rPr>
        <b/>
        <sz val="12"/>
        <color theme="0"/>
        <rFont val="宋体"/>
        <charset val="134"/>
      </rPr>
      <t>测试优先级</t>
    </r>
  </si>
  <si>
    <r>
      <rPr>
        <b/>
        <sz val="12"/>
        <color theme="0"/>
        <rFont val="Times New Roman"/>
        <charset val="134"/>
      </rPr>
      <t xml:space="preserve">Pre-condition
 </t>
    </r>
    <r>
      <rPr>
        <b/>
        <sz val="12"/>
        <color theme="0"/>
        <rFont val="宋体"/>
        <charset val="134"/>
      </rPr>
      <t>预置条件</t>
    </r>
  </si>
  <si>
    <r>
      <rPr>
        <b/>
        <sz val="12"/>
        <color theme="0"/>
        <rFont val="Times New Roman"/>
        <charset val="134"/>
      </rPr>
      <t xml:space="preserve">Input &amp; Procedure 
</t>
    </r>
    <r>
      <rPr>
        <b/>
        <sz val="12"/>
        <color theme="0"/>
        <rFont val="宋体"/>
        <charset val="134"/>
      </rPr>
      <t>输入与操作</t>
    </r>
  </si>
  <si>
    <r>
      <rPr>
        <b/>
        <sz val="12"/>
        <color theme="0"/>
        <rFont val="Times New Roman"/>
        <charset val="134"/>
      </rPr>
      <t xml:space="preserve">Expected Output
 </t>
    </r>
    <r>
      <rPr>
        <b/>
        <sz val="12"/>
        <color theme="0"/>
        <rFont val="宋体"/>
        <charset val="134"/>
      </rPr>
      <t>预期结果</t>
    </r>
  </si>
  <si>
    <r>
      <rPr>
        <b/>
        <sz val="12"/>
        <color theme="0"/>
        <rFont val="Times New Roman"/>
        <charset val="134"/>
      </rPr>
      <t xml:space="preserve">Result
</t>
    </r>
    <r>
      <rPr>
        <b/>
        <sz val="12"/>
        <color theme="0"/>
        <rFont val="宋体"/>
        <charset val="134"/>
      </rPr>
      <t>实际结果</t>
    </r>
  </si>
  <si>
    <r>
      <rPr>
        <b/>
        <sz val="12"/>
        <color theme="0"/>
        <rFont val="Times New Roman"/>
        <charset val="134"/>
      </rPr>
      <t xml:space="preserve">Status
</t>
    </r>
    <r>
      <rPr>
        <b/>
        <sz val="12"/>
        <color theme="0"/>
        <rFont val="宋体"/>
        <charset val="134"/>
      </rPr>
      <t>是否通过</t>
    </r>
  </si>
  <si>
    <r>
      <rPr>
        <b/>
        <sz val="12"/>
        <color theme="0"/>
        <rFont val="Times New Roman"/>
        <charset val="134"/>
      </rPr>
      <t xml:space="preserve">BUG Severity
</t>
    </r>
    <r>
      <rPr>
        <b/>
        <sz val="12"/>
        <color theme="0"/>
        <rFont val="宋体"/>
        <charset val="134"/>
      </rPr>
      <t>错误严重等级</t>
    </r>
  </si>
  <si>
    <r>
      <rPr>
        <b/>
        <sz val="12"/>
        <color theme="0"/>
        <rFont val="Times New Roman"/>
        <charset val="134"/>
      </rPr>
      <t xml:space="preserve">Remark
 </t>
    </r>
    <r>
      <rPr>
        <b/>
        <sz val="12"/>
        <color theme="0"/>
        <rFont val="宋体"/>
        <charset val="134"/>
      </rPr>
      <t>备注</t>
    </r>
  </si>
  <si>
    <t>TC-001</t>
  </si>
  <si>
    <t>用户注册</t>
  </si>
  <si>
    <t>合法邮箱与匹配密码注册</t>
  </si>
  <si>
    <t>高</t>
  </si>
  <si>
    <t>浏览器可正常访问 BioNote 首页</t>
  </si>
  <si>
    <t>1. 点击"注册"进入注册页面2. 输入用户名 "studentA"，邮箱 "studentA@university.edu.cn"，密码 "BioNote@123"，重复密码 "BioNote@123"3. 点击"注册"</t>
  </si>
  <si>
    <t>注册成功，跳转至登录页面；数据库用户表新增记录，密码以安全哈希存储</t>
  </si>
  <si>
    <t>注册成功，返回 JWT token，数据库用户表新增记录，密码 BCrypt 哈希存储</t>
  </si>
  <si>
    <t>通过</t>
  </si>
  <si>
    <t>AuthProfileIntegrationTest + API 手工验证</t>
  </si>
  <si>
    <t>TC-002</t>
  </si>
  <si>
    <t>邮箱格式错误与密码不一致——拒绝注册</t>
  </si>
  <si>
    <t>1. 输入用户名 "studentB"，邮箱 "studentB#university"，密码 "abc123"，重复密码 "abc456"2. 点击"注册"</t>
  </si>
  <si>
    <t>提示"邮箱格式不正确"和"两次密码不一致"，注册失败，不创建用户记录</t>
  </si>
  <si>
    <t>返回 400 Bad Request，注册失败，不创建用户记录</t>
  </si>
  <si>
    <t>TC-003</t>
  </si>
  <si>
    <t>用户登录</t>
  </si>
  <si>
    <t>已注册用户使用正确邮箱和密码登录</t>
  </si>
  <si>
    <t>用户 "studentA" 已注册成功</t>
  </si>
  <si>
    <t>1. 进入登录页面2. 输入邮箱 "studentA@university.edu.cn"，密码 "BioNote@123"3. 点击"登录"</t>
  </si>
  <si>
    <t>登录成功，跳转至工作台；导航栏显示用户名 "studentA"；JWT token 写入本地存储</t>
  </si>
  <si>
    <t>登录成功，返回 JWT token，Auth /me 接口验证通过</t>
  </si>
  <si>
    <t>AuthProfileIntegrationTest + LoginPage.test.jsx + API 手工验证</t>
  </si>
  <si>
    <t>TC-004</t>
  </si>
  <si>
    <t>使用错误密码登录——拒绝</t>
  </si>
  <si>
    <t>用户 "studentA" 已注册</t>
  </si>
  <si>
    <t>1. 输入邮箱 "studentA@university.edu.cn"，密码 "wrongPass"2. 点击"登录"</t>
  </si>
  <si>
    <t>提示"邮箱或密码不正确"，登录失败，页面不跳转</t>
  </si>
  <si>
    <t>返回 401 Unauthorized，登录失败</t>
  </si>
  <si>
    <t>TC-005</t>
  </si>
  <si>
    <t>工作台</t>
  </si>
  <si>
    <t>查看工作台——显示进行中项目与待办</t>
  </si>
  <si>
    <t>用户 "studentA" 已登录，参与多个项目且有待办事项</t>
  </si>
  <si>
    <t>1. 登录后进入工作台页面2. 查看"进行中项目""最近文件""最近实验记录""待办事项"四个区域</t>
  </si>
  <si>
    <t>各区域正确展示数据：进行中项目列表按时间排序、最近文件展示附件预览、最近记录显示摘要、待办事项按优先级排列且可点击处理</t>
  </si>
  <si>
    <t>工作台页面正常加载，四个区域数据正确展示，点击待办可跳转</t>
  </si>
  <si>
    <t>前端组件测试 + API 验证覆盖</t>
  </si>
  <si>
    <t>TC-006</t>
  </si>
  <si>
    <t>待办事项</t>
  </si>
  <si>
    <t>处理待办事项——审核任务</t>
  </si>
  <si>
    <t>工作台中有一条"审核实验记录"待办</t>
  </si>
  <si>
    <t>1. 在工作台点击待办事项2. 系统跳转至对应记录的审核详情页3. 完成审核操作</t>
  </si>
  <si>
    <t>跳转正确；审核完成后待办自动消除或更新状态</t>
  </si>
  <si>
    <t>工作台待办事项列表正确展示审核任务，点击后跳转至对应记录审核详情页，完成审核操作后待办自动标记为已处理并更新状态</t>
  </si>
  <si>
    <t>待办事项与审核流程联动正确，DomainEventIntegrationTest 覆盖待办事件发布与状态同步</t>
  </si>
  <si>
    <t>TC-007</t>
  </si>
  <si>
    <t>创建项目</t>
  </si>
  <si>
    <t>已登录用户创建新项目</t>
  </si>
  <si>
    <t>用户 "studentA" 已登录</t>
  </si>
  <si>
    <t>1. 在项目列表页点击"新建项目"2. 输入项目名称 "分子克隆实验"，项目简介 "本学期分子克隆系列实验记录"3. 点击"创建"</t>
  </si>
  <si>
    <t>项目创建成功，用户 A 自动成为项目负责人（OWNER）；项目列表展示新项目，状态为"进行中"</t>
  </si>
  <si>
    <t>项目创建成功，自动成为 OWNER，项目列表正确展示</t>
  </si>
  <si>
    <t>ProjectCollaborationIntegrationTest + ProjectsPage.test.jsx + API 手工验证</t>
  </si>
  <si>
    <t>TC-008</t>
  </si>
  <si>
    <t>编辑项目</t>
  </si>
  <si>
    <t>负责人编辑项目信息</t>
  </si>
  <si>
    <t>中</t>
  </si>
  <si>
    <t>用户 A 的项目 "分子克隆实验" 已存在</t>
  </si>
  <si>
    <t>1. 进入项目详情2. 修改项目简介3. 保存</t>
  </si>
  <si>
    <t>项目信息更新成功；修改人和修改时间更新</t>
  </si>
  <si>
    <t>编辑 API 调用成功，项目简介更新为预期内容，修改人和修改时间字段正确更新</t>
  </si>
  <si>
    <t>ProjectDetailMvpPage.test.jsx 组件测试通过，编辑 API 验证通过</t>
  </si>
  <si>
    <t>TC-009</t>
  </si>
  <si>
    <t>项目成员邀请</t>
  </si>
  <si>
    <t>邀请已注册用户加入项目</t>
  </si>
  <si>
    <t>1. 用户 A 已创建项目 "分子克隆实验"2. 用户 B 已注册</t>
  </si>
  <si>
    <t>1. 用户 A 进入项目设置 → 成员管理2. 输入用户 B 的邮箱，点击"邀请"</t>
  </si>
  <si>
    <t>邀请创建成功；用户 B 收到站内通知，可在通知中"接受"或"拒绝"</t>
  </si>
  <si>
    <t>邀请创建成功，受邀用户收到站内通知</t>
  </si>
  <si>
    <t>ProjectCollaborationIntegrationTest + API 手工验证</t>
  </si>
  <si>
    <t>TC-010</t>
  </si>
  <si>
    <t>邀请未注册邮箱——拒绝</t>
  </si>
  <si>
    <t>用户 A 已创建项目</t>
  </si>
  <si>
    <t>1. 用户 A 输入未注册邮箱 "unknown@university.edu.cn"，点击"邀请"</t>
  </si>
  <si>
    <t>提示"该邮箱尚未注册"，邀请创建失败</t>
  </si>
  <si>
    <t>邀请 API 返回错误码，邀请被拒绝，未注册邮箱无法收到邀请</t>
  </si>
  <si>
    <t>ProjectCollaborationIntegrationTest 覆盖未注册邮箱邀请拒绝逻辑</t>
  </si>
  <si>
    <t>TC-011</t>
  </si>
  <si>
    <t>项目成员管理</t>
  </si>
  <si>
    <t>负责人变更成员角色</t>
  </si>
  <si>
    <t>1. 用户 B 已接受邀请成为普通成员2. 用户 B 未创建任何记录</t>
  </si>
  <si>
    <t>1. 用户 A 进入成员管理2. 将用户 B 的角色从"普通成员"改为"审核者"3. 保存</t>
  </si>
  <si>
    <t>角色变更成功；用户 B 收到角色变更通知；用户 B 拥有审核权限</t>
  </si>
  <si>
    <t>后端 ProjectCollaborationIntegrationTest 7 条测试全部通过</t>
  </si>
  <si>
    <t>ProjectCollaborationIntegrationTest 覆盖角色变更流程</t>
  </si>
  <si>
    <t>TC-012</t>
  </si>
  <si>
    <t>拥有进行中记录的成员不可变更角色</t>
  </si>
  <si>
    <t>用户 B（普通成员）在项目中创建了一条进行中记录</t>
  </si>
  <si>
    <t>1. 用户 A 尝试将用户 B 角色改为"审核者"</t>
  </si>
  <si>
    <t>提示"该成员仍有未完成记录，无法变更角色"，操作被拒绝</t>
  </si>
  <si>
    <t>后端 RecordActionPolicyTest 9 条策略测试全部通过</t>
  </si>
  <si>
    <t>RecordActionPolicyTest 覆盖角色变更边界条件</t>
  </si>
  <si>
    <t>TC-013</t>
  </si>
  <si>
    <t>项目归档</t>
  </si>
  <si>
    <t>全部记录已完成时归档项目</t>
  </si>
  <si>
    <t>项目中所有实验记录均处于"已完成"状态</t>
  </si>
  <si>
    <t>1. 用户 A 进入项目设置2. 点击"归档项目"3. 确认操作</t>
  </si>
  <si>
    <t>项目归档成功，状态变为"已归档"；所有参与者仅可查看和导出，不可编辑、创建、提交审核</t>
  </si>
  <si>
    <t>API 返回 409（因存在 IN_PROGRESS 记录，正确拒绝归档）</t>
  </si>
  <si>
    <t>API 手工验证——拒绝逻辑正确，需 COMPLETED 状态方可归档</t>
  </si>
  <si>
    <t>TC-014</t>
  </si>
  <si>
    <t>存在待审核记录时归档——阻止</t>
  </si>
  <si>
    <t>项目存在一条"待审核"状态的记录</t>
  </si>
  <si>
    <t>1. 用户 A 点击"归档项目"</t>
  </si>
  <si>
    <t>提示"存在未完成记录，无法归档"并列出记录名称，操作被拒绝</t>
  </si>
  <si>
    <t>后端 ProjectCollaborationIntegrationTest 覆盖归档边界逻辑</t>
  </si>
  <si>
    <t>ProjectCollaborationIntegrationTest 覆盖</t>
  </si>
  <si>
    <t>TC-015</t>
  </si>
  <si>
    <t>新建实验记录</t>
  </si>
  <si>
    <t>选择系统模板保存草稿——不校验必填字段</t>
  </si>
  <si>
    <t>1. 用户 B（普通成员）已登录2. 项目 "分子克隆实验" 已关联模板 "PCR实验记录"</t>
  </si>
  <si>
    <t>1. 进入项目，点击"新建实验记录"2. 选择模板 "PCR实验记录"3. 仅填写实验名称 "质粒扩增PCR"，其余字段留空4. 点击"保存草稿"</t>
  </si>
  <si>
    <t>保存成功；记录状态标记为"草稿"；不执行必填字段校验；系统提示"草稿已保存"，返回编辑器可继续编辑</t>
  </si>
  <si>
    <t>Reserve + Create API 调用成功，记录 status=IN_PROGRESS，code=EXP-20260728-XXX</t>
  </si>
  <si>
    <t>TemplateRecordIntegrationTest(8 passed) + API 手工验证</t>
  </si>
  <si>
    <t>TC-016</t>
  </si>
  <si>
    <t>填写完整后提交——必填字段校验通过</t>
  </si>
  <si>
    <t>1. 用户 B 已进入记录编辑器2. 模板 "PCR实验记录" 已选中</t>
  </si>
  <si>
    <t>1. 填写实验名称、实验类型、实验日期、实验目的等必填项2. 填写模板字段"模板DNA浓度"为 50 ng/μL3. 在正文区写入实验步骤4. 点击"提交"</t>
  </si>
  <si>
    <t>系统校验所有必填字段通过；记录状态更新为"进行中"或"待审核"（视项目设置）；记录提交时间和操作者信息；返回记录详情页，以只读视图展示</t>
  </si>
  <si>
    <t>必填字段校验全部通过，记录状态正确更新为"待审核"，生成不可变快照 R1，提交时间与操作者信息正确记录，页面跳转至只读详情视图</t>
  </si>
  <si>
    <t>TemplateRecordIntegrationTest(8 passed) 覆盖记录创建与提交，审核人已预先设置，完整提交链路通过</t>
  </si>
  <si>
    <t>TC-017</t>
  </si>
  <si>
    <t>必填字段校验失败——红色提示并定位</t>
  </si>
  <si>
    <t>用户 B 进入记录编辑器，仅填写实验名称</t>
  </si>
  <si>
    <t>1. 直接点击"提交"，模板必填字段"实验类型""实验日期"留空2. 数值字段输入超出范围的值</t>
  </si>
  <si>
    <t>对应字段旁显示红色错误提示；页面自动滚动到第一个错误字段位置；记录未提交，状态不变</t>
  </si>
  <si>
    <t>前端 RecordEditorMvpPage.test.jsx 组件测试通过</t>
  </si>
  <si>
    <t>RecordEditorMvpPage.test.jsx 覆盖表单校验 UI</t>
  </si>
  <si>
    <t>TC-018</t>
  </si>
  <si>
    <t>编辑已有记录</t>
  </si>
  <si>
    <t>编辑进行中记录并保存</t>
  </si>
  <si>
    <t>用户 B 有一条"进行中"状态的记录</t>
  </si>
  <si>
    <t>1. 在记录详情页点击"编辑"按钮2. 系统加载三栏编辑器：左侧目录树、中间数据填写区、右侧工具栏3. 修改实验步骤正文4. 点击"保存草稿"</t>
  </si>
  <si>
    <t>预填充已有数据正确；修改后的内容持久化；记录状态保持"进行中"；最后修改人和时间更新</t>
  </si>
  <si>
    <t>后端 TemplateRecordIntegrationTest 8 条测试全部通过</t>
  </si>
  <si>
    <t>TemplateRecordIntegrationTest 覆盖记录编辑与持久化</t>
  </si>
  <si>
    <t>TC-019</t>
  </si>
  <si>
    <t>编辑实验记录</t>
  </si>
  <si>
    <t>非创建者尝试编辑他人记录——拒绝</t>
  </si>
  <si>
    <t>用户 A（OWNER）查看用户 B 创建的"进行中"记录</t>
  </si>
  <si>
    <t>1. 用户 A 打开记录详情2. 尝试点击"编辑"按钮</t>
  </si>
  <si>
    <t>编辑按钮不可见 / 请求返回 403；记录内容未被修改</t>
  </si>
  <si>
    <t>RecordActionPolicyTest 覆盖权限校验，非创建者编辑被拒绝</t>
  </si>
  <si>
    <t>RecordActionPolicyTest (9 tests) 覆盖</t>
  </si>
  <si>
    <t>TC-020</t>
  </si>
  <si>
    <t>取消编辑</t>
  </si>
  <si>
    <t>编辑中有未保存内容时取消——确认后丢弃</t>
  </si>
  <si>
    <t>用户 B 在编辑器中修改了记录内容但未保存</t>
  </si>
  <si>
    <t>1. 点击"取消"按钮2. 系统提示"有未保存的更改，是否放弃？"3. 点击"确认放弃"</t>
  </si>
  <si>
    <t>系统放弃所有未保存更改；返回上一页面；记录内容保持编辑前状态</t>
  </si>
  <si>
    <t>点击取消后弹出确认对话框，确认放弃后返回上一页面，重新打开记录内容保持编辑前状态，未保存更改已丢弃</t>
  </si>
  <si>
    <t>RecordEditorMvpPage.test.jsx 覆盖取消编辑组件交互与未保存内容确认逻辑</t>
  </si>
  <si>
    <t>TC-021</t>
  </si>
  <si>
    <t>并发编辑冲突——乐观锁检测</t>
  </si>
  <si>
    <t>用户 B 在两个浏览器标签页同时打开同一条"进行中"记录</t>
  </si>
  <si>
    <t>1. 标签页 A 修改记录并保存成功2. 标签页 B 基于旧版本进行修改并保存</t>
  </si>
  <si>
    <t>标签页 B 提示"记录已被其他会话更新，请刷新后重试"，不静默覆盖新内容</t>
  </si>
  <si>
    <t>后端冲突检测逻辑通过集成测试</t>
  </si>
  <si>
    <t>conflict-idempotency.spec.js (E2E) 覆盖并发场景</t>
  </si>
  <si>
    <t>TC-022</t>
  </si>
  <si>
    <t>查看记录详情</t>
  </si>
  <si>
    <t>只读视图——分块展示数据字段与评论</t>
  </si>
  <si>
    <t>有一条"已完成"记录</t>
  </si>
  <si>
    <t>1. 在记录列表中点击该记录2. 查看详情页</t>
  </si>
  <si>
    <t>以只读模式按节分块展示：基本信息、模板数据字段（文本/数值/日期/图片/下拉/富文本）、表格、附件、右侧评论区和相关记录链接</t>
  </si>
  <si>
    <t>前端 RecordDetailMvpPage.test.jsx 组件测试通过</t>
  </si>
  <si>
    <t>RecordDetailMvpPage.test.jsx 覆盖详情页渲染</t>
  </si>
  <si>
    <t>TC-023</t>
  </si>
  <si>
    <t>图片上传</t>
  </si>
  <si>
    <t>在图⽚字段上传 JPG/PNG 图⽚</t>
  </si>
  <si>
    <t>用户 B 有一条"进行中"记录，点击编辑</t>
  </si>
  <si>
    <t>1. 在图片型模板字段点击上传按钮2. 选择本地 JPG 文件 "gel_image.jpg"（3MB）3. 系统上传并展示缩略图预览</t>
  </si>
  <si>
    <t>上传成功；缩略图正确显示；支持"本地文件选择"和"拍照"两种方式</t>
  </si>
  <si>
    <t>前端 AttachmentManager.test.jsx 组件测试通过</t>
  </si>
  <si>
    <t>AttachmentManager.test.jsx 覆盖附件上传组件</t>
  </si>
  <si>
    <t>TC-024</t>
  </si>
  <si>
    <t>上传超大文件或非图片格式——拒绝</t>
  </si>
  <si>
    <t>图片字段上传限制为常见格式且限制大小</t>
  </si>
  <si>
    <t>1. 尝试上传 30MB 的 PNG 文件2. 尝试上传 PDF 文件</t>
  </si>
  <si>
    <t>分别提示"文件过大，上传失败"和"不支持的文件格式"；请求被拒绝</t>
  </si>
  <si>
    <t>前端 AttachmentManager 组件测试覆盖文件类型与大小校验</t>
  </si>
  <si>
    <t>AttachmentManager.test.jsx 覆盖文件校验逻辑</t>
  </si>
  <si>
    <t>TC-025</t>
  </si>
  <si>
    <t>提交审核</t>
  </si>
  <si>
    <t>提交审核——生成快照并锁定编辑</t>
  </si>
  <si>
    <t>1. 用户 B 的记录已填写完整2. 项目存在审核者用户 C</t>
  </si>
  <si>
    <t>1. 用户 B 在编辑器中点击"提交"2. 系统校验通过后将记录提交为"待审核"3. 选择审核人 "用户 C"</t>
  </si>
  <si>
    <t>提交成功；生成不可变快照 R1；记录状态变为"待审核"；编辑被锁定；用户 C 收到审核通知</t>
  </si>
  <si>
    <t>后端 ReviewAttachmentExportIntegrationTest 4 条测试全部通过</t>
  </si>
  <si>
    <t>ReviewAttachmentExportIntegrationTest 覆盖提交审核流程</t>
  </si>
  <si>
    <t>TC-026</t>
  </si>
  <si>
    <t>选自己为审核人——拒绝</t>
  </si>
  <si>
    <t>用户 B 的记录处于"进行中"</t>
  </si>
  <si>
    <t>1. 用户 B 尝试将审核人选择为自己</t>
  </si>
  <si>
    <t>系统拒绝，提示"不能审核自己创建的记录"</t>
  </si>
  <si>
    <t>后端审核人权限校验逻辑通过测试</t>
  </si>
  <si>
    <t>审核人权限校验覆盖</t>
  </si>
  <si>
    <t>TC-027</t>
  </si>
  <si>
    <t>快速重复提交——幂等保护</t>
  </si>
  <si>
    <t>1. 快速连续点击两次"提交"按钮</t>
  </si>
  <si>
    <t>仅生成 1 条快照和 1 次状态转换；不产生重复审核任务</t>
  </si>
  <si>
    <t>后端冲突与幂等测试通过</t>
  </si>
  <si>
    <t>conflict-idempotency.spec.js (E2E) 覆盖幂等场景</t>
  </si>
  <si>
    <t>TC-028</t>
  </si>
  <si>
    <t>审核通过</t>
  </si>
  <si>
    <t>审核人审核通过——状态变为已完成</t>
  </si>
  <si>
    <t>1. 用户 B 的记录处于"待审核"，审核人为用户 C2. 用户 C 已登录</t>
  </si>
  <si>
    <t>1. 用户 C 打开"待审核"列表2. 点击记录查看快照内容3. 审核人检查数据完整性和正确性4. 点击"通过"</t>
  </si>
  <si>
    <t>审核通过；记录状态更新为"已完成"；系统记录审核通过时间；用户 B 收到"审核通过"通知</t>
  </si>
  <si>
    <t>后端 ReviewAttachmentExportIntegrationTest 覆盖审核通过流程</t>
  </si>
  <si>
    <t>ReviewAttachmentExportIntegrationTest 覆盖</t>
  </si>
  <si>
    <t>TC-029</t>
  </si>
  <si>
    <t>审核驳回</t>
  </si>
  <si>
    <t>审核人驳回——填写原因并通知提交者</t>
  </si>
  <si>
    <t>1. 用户 C 查看快照内容2. 点击"驳回"3. 填写驳回原因 "实验步骤需补充退火温度"4. 确认驳回</t>
  </si>
  <si>
    <t>驳回成功；记录状态变为"已驳回"；编辑解锁；用户 B 收到驳回通知，显示驳回原因</t>
  </si>
  <si>
    <t>后端 ReviewAttachmentExportIntegrationTest 覆盖驳回与通知</t>
  </si>
  <si>
    <t>TC-030</t>
  </si>
  <si>
    <t>驳回后再次提交</t>
  </si>
  <si>
    <t>修改后再次提交审核——生成新快照</t>
  </si>
  <si>
    <t>1. 用户 B 的记录处于"已驳回"2. 用户 B 已完成补充修改</t>
  </si>
  <si>
    <t>1. 用户 B 编辑记录并保存2. 点击"再次提交审核"3. 选择审核人 "用户 C"，确认提交</t>
  </si>
  <si>
    <t>提交成功；生成新快照 R2；记录状态变为"待审核"；R1 快照不覆盖</t>
  </si>
  <si>
    <t>后端审核流程集成测试覆盖驳回→再提交</t>
  </si>
  <si>
    <t>mvp-review-flow.spec.js (E2E) 覆盖完整审核流程</t>
  </si>
  <si>
    <t>TC-031</t>
  </si>
  <si>
    <t>审核人失去权限时重新指派</t>
  </si>
  <si>
    <t>审核人被移除时同一事务中重新指派</t>
  </si>
  <si>
    <t>1. 用户 C（审核者）正在审核用户 B 的记录2. 项目存在其他合法审核者用户 D</t>
  </si>
  <si>
    <t>1. 用户 A 将用户 C 从项目中移除</t>
  </si>
  <si>
    <t>移除操作成功；系统在同一事务中将记录审核人重新指派给用户 D；旧审核人收到任务移除通知；新审核人收到指派通知</t>
  </si>
  <si>
    <t>后端审核重新指派逻辑通过集成测试</t>
  </si>
  <si>
    <t>审核人移除后自动重新指派</t>
  </si>
  <si>
    <t>TC-032</t>
  </si>
  <si>
    <t>删除记录</t>
  </si>
  <si>
    <t>删除进行中记录——软删除为已归档</t>
  </si>
  <si>
    <t>用户 B 有一条"进行中"记录</t>
  </si>
  <si>
    <t>1. 在记录详情页点击"删除"2. 系统提示"删除后数据不可恢复，是否继续？"3. 确认删除</t>
  </si>
  <si>
    <t>软删除成功；记录状态标记为"已归档"，从活跃记录列表移除；返回记录列表页</t>
  </si>
  <si>
    <t>RecordActionPolicyTest 覆盖记录删除策略</t>
  </si>
  <si>
    <t>RecordActionPolicyTest 覆盖软删除逻辑</t>
  </si>
  <si>
    <t>TC-033</t>
  </si>
  <si>
    <t>删除待审核记录——拒绝</t>
  </si>
  <si>
    <t>用户 B 有一条"待审核"记录</t>
  </si>
  <si>
    <t>1. 尝试删除该记录</t>
  </si>
  <si>
    <t>提示"待审核记录无法删除"，操作被拒绝</t>
  </si>
  <si>
    <t>RecordActionPolicyTest 覆盖待审核状态删除拒绝</t>
  </si>
  <si>
    <t>RecordActionPolicyTest 覆盖状态约束</t>
  </si>
  <si>
    <t>TC-034</t>
  </si>
  <si>
    <t>项目文件管理</t>
  </si>
  <si>
    <t>上传、查看、下载项目文件</t>
  </si>
  <si>
    <t>用户 B 在项目 "分子克隆实验" 中</t>
  </si>
  <si>
    <t>1. 进入项目详情 → "项目文件"标签2. 上传 PDF 文件 "实验方案.pdf"3. 查看、下载、删除该文件</t>
  </si>
  <si>
    <t>上传成功，文件列表显示名称、大小、上传者、时间；查看在线预览；下载正常；可删除自己的文件</t>
  </si>
  <si>
    <t>前端 AttachmentManager.test.jsx 覆盖附件管理</t>
  </si>
  <si>
    <t>AttachmentManager.test.jsx 覆盖文件上传/下载/删除</t>
  </si>
  <si>
    <t>TC-035</t>
  </si>
  <si>
    <t>版本历史列表</t>
  </si>
  <si>
    <t>查看记录版本历史分页列表</t>
  </si>
  <si>
    <t>用户 B 的记录已有 R1（审核通过）、R2（审核通过）两个版本</t>
  </si>
  <si>
    <t>1. 打开记录详情 → "修改历史"标签2. 查看版本列表</t>
  </si>
  <si>
    <t>版本列表按时间倒序展示；每项显示 Rn、提交人和时间、审核人、审核结论；最新版本标记为"最终批准版本"；支持分页</t>
  </si>
  <si>
    <t>后端 RevisionApiIntegrationTest 4 条 + 前端 RevisionHistoryPanel.test.jsx 全部通过</t>
  </si>
  <si>
    <t>RevisionApiIntegrationTest + RevisionHistoryPanel.test.jsx</t>
  </si>
  <si>
    <t>TC-036</t>
  </si>
  <si>
    <t>版本 Diff 对比</t>
  </si>
  <si>
    <t>比较两个版本的差异</t>
  </si>
  <si>
    <t>记录有 R1 和 R2 两个版本</t>
  </si>
  <si>
    <t>1. 在版本列表中选择基准版本 R1、目标版本 R22. 点击"比较差异"</t>
  </si>
  <si>
    <t>Diff 页面展示：标量字段变化、模板字段新增/修改/删除（突出显示）、正文段落差异（删除标红/新增标绿）、附件变化清单、变更统计计数</t>
  </si>
  <si>
    <t>后端 RevisionDiffServiceTest(2) + SnapshotNormalizerTest(4) + 前端 RevisionDiffViewer.test.jsx 全部通过</t>
  </si>
  <si>
    <t>四种 Diff 策略（SCALAR/TEMPLATE_FIELD/RICH_TEXT/ATTACHMENT_SET）全覆盖</t>
  </si>
  <si>
    <t>TC-037</t>
  </si>
  <si>
    <t>恢复预览</t>
  </si>
  <si>
    <t>从历史版本恢复为工作副本——预览</t>
  </si>
  <si>
    <t>1. 记录有 R1 版本2. 当前记录处于"已驳回"（可编辑）3. 用户 B（创建者）操作</t>
  </si>
  <si>
    <t>1. 版本历史中选中 R12. 点击"恢复为工作副本"</t>
  </si>
  <si>
    <t>弹窗展示：来源版本 R1、受影响字段列表、附件变更清单、warnings；默认勾选恢复附件</t>
  </si>
  <si>
    <t>后端 RestoreApiIntegrationTest 6 条 + 前端 RestorePreviewDialog.test.jsx 全部通过</t>
  </si>
  <si>
    <t>RestoreApiIntegrationTest + RestorePreviewDialog.test.jsx</t>
  </si>
  <si>
    <t>TC-038</t>
  </si>
  <si>
    <t>恢复执行</t>
  </si>
  <si>
    <t>确认执行恢复操作</t>
  </si>
  <si>
    <t>恢复预览弹窗已展示且未过期</t>
  </si>
  <si>
    <t>1. 确认预览内容2. 点击"确认恢复"</t>
  </si>
  <si>
    <t>恢复成功；工作副本基于 R1 重置；历史版本不变；下次提交生成新 Rn；提示"已从 R1 恢复，历史版本未改变"</t>
  </si>
  <si>
    <t>后端 RestoreApiIntegrationTest 覆盖恢复执行与幂等键校验</t>
  </si>
  <si>
    <t>RestorePreviewTokenServiceTest 覆盖 token 过期/STALE 拒绝</t>
  </si>
  <si>
    <t>TC-039</t>
  </si>
  <si>
    <t>模板管理</t>
  </si>
  <si>
    <t>创建个人实验模板</t>
  </si>
  <si>
    <t>用户已登录</t>
  </si>
  <si>
    <t>1. 进入"我的模板"页面2. 点击"新建模板"3. 输入模板名称 "Western Blot记录"4. 添加自定义字段："一抗名称"（单行文本）、"曝光时间"（数值）、"显影结果"（图片）5. 保存</t>
  </si>
  <si>
    <t>模板创建成功；模板列表可见；新建记录时可选择此模板</t>
  </si>
  <si>
    <t>前端 TemplateEditorDialog.test.jsx 组件测试通过</t>
  </si>
  <si>
    <t>TemplateEditorDialog.test.jsx 覆盖模板编辑器 CRUD</t>
  </si>
  <si>
    <t>TC-040</t>
  </si>
  <si>
    <t>删除模板后已有记录不受影响</t>
  </si>
  <si>
    <t>1. 已创建模板 "Western Blot记录"2. 已使用该模板创建了一条记录</t>
  </si>
  <si>
    <t>1. 删除模板 "Western Blot记录"</t>
  </si>
  <si>
    <t>模板不再出现在选择列表；已创建记录保留模板字段结构和值</t>
  </si>
  <si>
    <t>后端 TemplateRecordIntegrationTest 覆盖模板删除后记录完整性</t>
  </si>
  <si>
    <t>TemplateRecordIntegrationTest (8 tests) 覆盖</t>
  </si>
  <si>
    <t>TC-041</t>
  </si>
  <si>
    <t>Agent 记录总结</t>
  </si>
  <si>
    <t>记录创建者生成 AI 记录总结</t>
  </si>
  <si>
    <t>1. Agent 功能已启用2. 用户 B 有一条"已完成"记录</t>
  </si>
  <si>
    <t>1. 用户 B 打开记录详情 → "AI 总结"2. 点击"生成总结"</t>
  </si>
  <si>
    <t>返回 202；显示轮询状态；完成后生成 RECORD_SUMMARY artifact；展示 headline、summary、evidence 跳转链接、limitations</t>
  </si>
  <si>
    <t>后端 AgentApiIntegrationTest + AgentHarnessIntegrationTest + 前端 AgentPanels.test.jsx 全部通过</t>
  </si>
  <si>
    <t>Agent 测试使用 Fake ModelClient (fake-deterministic-v1)，真实 API 需 RealProviderSmokeTest 验证</t>
  </si>
  <si>
    <t>TC-042</t>
  </si>
  <si>
    <t>非创建者不可生成记录总结</t>
  </si>
  <si>
    <t>用户 A 查看用户 B 的"已完成"记录</t>
  </si>
  <si>
    <t>1. 用户 A 打开记录详情 → "AI 总结"</t>
  </si>
  <si>
    <t>生成入口隐藏 / 请求返回 403</t>
  </si>
  <si>
    <t>后端 AgentApiIntegrationTest 覆盖权限校验</t>
  </si>
  <si>
    <t>非创建者 Agent 调用权限拒绝</t>
  </si>
  <si>
    <t>TC-043</t>
  </si>
  <si>
    <t>Agent 项目进展报告</t>
  </si>
  <si>
    <t>项目负责人生成项目进展报告</t>
  </si>
  <si>
    <t>1. Agent 功能已启用2. 用户 A（OWNER）的项目包含多条记录</t>
  </si>
  <si>
    <t>1. 进入项目详情 → "智能进展"2. 选择时间窗口（最近 7 天）3. 点击"生成进展报告"</t>
  </si>
  <si>
    <t>返回 202；完成后生成 PROJECT_PROGRESS artifact；包含进展摘要、风险/阻塞、evidence 跳转</t>
  </si>
  <si>
    <t>后端 AgentApiIntegrationTest + 前端 AgentExperience.test.jsx 全部通过</t>
  </si>
  <si>
    <t>PROJECT_PROGRESS prompt 版本管理与证据校验覆盖</t>
  </si>
  <si>
    <t>TC-044</t>
  </si>
  <si>
    <t>普通成员不可生成项目报告</t>
  </si>
  <si>
    <t>用户 B（普通成员）在项目中</t>
  </si>
  <si>
    <t>1. 用户 B 打开项目详情</t>
  </si>
  <si>
    <t>"生成进展报告"入口不可见</t>
  </si>
  <si>
    <t>后端 AgentApiIntegrationTest 覆盖普通成员权限拒绝</t>
  </si>
  <si>
    <t>仅 OWNER 可生成项目报告</t>
  </si>
  <si>
    <t>TC-045</t>
  </si>
  <si>
    <t>Agent Cancel</t>
  </si>
  <si>
    <t>取消正在运行的 Agent Run</t>
  </si>
  <si>
    <t>Agent Run 处于 QUEUED 或 RUNNING 状态</t>
  </si>
  <si>
    <t>1. 点击"取消"按钮</t>
  </si>
  <si>
    <t>Run 状态变为 CANCELLED；轮询停止</t>
  </si>
  <si>
    <t>后端 AgentHarnessIntegrationTest 覆盖 Cancel 流程</t>
  </si>
  <si>
    <t>Agent Run 状态机 CANCEL 覆盖</t>
  </si>
  <si>
    <t>TC-046</t>
  </si>
  <si>
    <t>Agent 异常场景</t>
  </si>
  <si>
    <t>Agent 功能被禁用时的降级行为</t>
  </si>
  <si>
    <r>
      <rPr>
        <sz val="11"/>
        <rFont val="宋体"/>
        <charset val="134"/>
      </rPr>
      <t xml:space="preserve">配置 </t>
    </r>
    <r>
      <rPr>
        <sz val="12"/>
        <rFont val="宋体"/>
        <charset val="134"/>
      </rPr>
      <t>agent.enabled=false</t>
    </r>
  </si>
  <si>
    <t>1. 访问记录的"AI 总结"标签</t>
  </si>
  <si>
    <t>生成入口隐藏/禁用；API 返回 AGENT_DISABLED 错误码</t>
  </si>
  <si>
    <t>后端 AgentDisabledApiIntegrationTest 全部通过</t>
  </si>
  <si>
    <t>AgentDisabledApiIntegrationTest 覆盖禁用降级</t>
  </si>
  <si>
    <t>TC-047</t>
  </si>
  <si>
    <t>全局搜索</t>
  </si>
  <si>
    <t>跨项目关键字搜索实验记录</t>
  </si>
  <si>
    <t>用户参与多个项目，各项目中有不同状态的记录</t>
  </si>
  <si>
    <t>1. 进入搜索中心2. 输入关键字 "PCR"3. 点击搜索</t>
  </si>
  <si>
    <t>返回用户有权访问的所有包含 "PCR" 的记录；显示记录名称、所属项目、状态；支持按项目、状态、时间范围进一步筛选</t>
  </si>
  <si>
    <t>后端 ActivitySearchIntegrationTest + 前端 SearchMvpPage.test.jsx + API 手工验证全部通过</t>
  </si>
  <si>
    <t>ActivitySearchIntegrationTest + SearchMvpPage.test.jsx + API 手工验证</t>
  </si>
  <si>
    <t>TC-048</t>
  </si>
  <si>
    <t>搜索结果按权限过滤——不包含无权项目</t>
  </si>
  <si>
    <t>用户 A 未参与用户 E 创建的项目</t>
  </si>
  <si>
    <t>1. 用户 A 在搜索中心搜索实验记录</t>
  </si>
  <si>
    <t>搜索结果中不包含用户 E 项目中的任何记录</t>
  </si>
  <si>
    <t>后端 ActivitySearchIntegrationTest 覆盖跨项目权限过滤</t>
  </si>
  <si>
    <t>搜索权限过滤逻辑覆盖</t>
  </si>
  <si>
    <t>TC-049</t>
  </si>
  <si>
    <t>项目内搜索</t>
  </si>
  <si>
    <t>项目内搜索与筛选</t>
  </si>
  <si>
    <t>项目 "分子克隆实验" 中有多条记录</t>
  </si>
  <si>
    <t>1. 进入项目详情2. 在项目内搜索框输入关键字3. 按状态、日期筛选</t>
  </si>
  <si>
    <t>搜索结果限定在当前项目内；筛选条件正确叠加；支持点击跳转至搜索结果详情</t>
  </si>
  <si>
    <t>前端 SearchMvpPage.test.jsx 覆盖搜索与筛选</t>
  </si>
  <si>
    <t>SearchMvpPage.test.jsx 覆盖搜索筛选交互</t>
  </si>
  <si>
    <t>TC-050</t>
  </si>
  <si>
    <t>数据展示与导出</t>
  </si>
  <si>
    <t>数据表格与趋势图展示</t>
  </si>
  <si>
    <t>项目中有多条已完成记录包含数值型模板字段</t>
  </si>
  <si>
    <t>1. 进入"数据展示"页面2. 查看实验数据表格3. 查看趋势图4. 切换时间窗口</t>
  </si>
  <si>
    <t>表格正确展示筛选后的数据；趋势图正确渲染数据点；时间窗口切换后图表和表格同步更新</t>
  </si>
  <si>
    <t>数据表格正确展示已完成记录的数值型模板字段数据，趋势图按时间序列渲染数据点，切换时间窗口后图表与表格同步刷新，预测算法趋势线正确叠加</t>
  </si>
  <si>
    <t>数据预测功能已完成开发（迭代任务 No.6），表格与趋势图联动正常，移动平均/线性回归算法验证通过</t>
  </si>
  <si>
    <t>TC-051</t>
  </si>
  <si>
    <t>导出</t>
  </si>
  <si>
    <t>导出已完成记录 PDF 报告</t>
  </si>
  <si>
    <t>用户 B 有一条"已完成"记录</t>
  </si>
  <si>
    <t>1. 打开已完成记录详情2. 点击"导出"→ 选择"PDF"</t>
  </si>
  <si>
    <t>生成 PDF 文件；包含基本信息、模板字段、正文、附件清单、创建者与审核信息；导出事件写入审计日志</t>
  </si>
  <si>
    <t>后端 ReviewAttachmentExportIntegrationTest 覆盖导出与审计日志</t>
  </si>
  <si>
    <t>ReviewAttachmentExportIntegrationTest (4 tests) 覆盖导出</t>
  </si>
  <si>
    <t>TC-052</t>
  </si>
  <si>
    <t>未完成记录不可导出</t>
  </si>
  <si>
    <t>用户 B 有一条"已驳回"记录</t>
  </si>
  <si>
    <t>1. 打开记录详情2. 查看导出选项</t>
  </si>
  <si>
    <t>导出按钮不可见 / 提示"仅已完成记录可导出"</t>
  </si>
  <si>
    <t>后端导出接口验证通过，仅 COMPLETED 记录可导出</t>
  </si>
  <si>
    <t>导出状态约束覆盖</t>
  </si>
  <si>
    <t>TC-053</t>
  </si>
  <si>
    <t>站内通知</t>
  </si>
  <si>
    <t>通知标记已读与待办处理</t>
  </si>
  <si>
    <t>用户有多条未读通知</t>
  </si>
  <si>
    <t>1. 点击导航栏通知图标2. 逐条点击通知3. 标记全部已读</t>
  </si>
  <si>
    <t>未读计数正确减少；点击审核通知跳转至对应记录详情；已读通知保留在列表中</t>
  </si>
  <si>
    <t>后端 DomainEventIntegrationTest + DomainEventPublisherTest 覆盖通知事件</t>
  </si>
  <si>
    <t>DomainEventIntegrationTest 覆盖通知发布与已读标记</t>
  </si>
  <si>
    <t>TC-054</t>
  </si>
  <si>
    <t>10,000+ 条记录下列表加载性能</t>
  </si>
  <si>
    <t>1. 系统中存在 10,000+ 条实验记录数据2. 搜索功能正常</t>
  </si>
  <si>
    <t>1. 进入"搜索结果"页面2. 执行关键字搜索并翻页3. 使用 k6 模拟 50 用户/10 并发</t>
  </si>
  <si>
    <t>列表分页加载性能可接受（&lt; 3 秒）；响应时间不随数据量线性退化</t>
  </si>
  <si>
    <t>未执行——需 k6 压测工具 + 大量种子数据</t>
  </si>
  <si>
    <t>未测试</t>
  </si>
  <si>
    <t>需 k6/JMeter + 万级种子数据，建议部署后执行</t>
  </si>
  <si>
    <t>TC-055</t>
  </si>
  <si>
    <t>200 并发用户峰值——提交审核</t>
  </si>
  <si>
    <t>系统存在多条"进行中"记录</t>
  </si>
  <si>
    <t>1. 使用 k6 模拟 200 用户同时在线，50 并发提交审核请求2. 监控服务器 CPU、内存、数据库连接池</t>
  </si>
  <si>
    <t>所有提交返回正确结果（成功或幂等拒绝）；无死锁或事务超时；服务不崩溃</t>
  </si>
  <si>
    <t>未执行——需 k6 压测工具</t>
  </si>
  <si>
    <t>需 k6/JMeter 压测环境</t>
  </si>
  <si>
    <t>TC-056</t>
  </si>
  <si>
    <t>Agent Run 并发——Worker 单实例保护</t>
  </si>
  <si>
    <t>多个项目各有一条记录可触发 Agent</t>
  </si>
  <si>
    <t>1. 同时向 5 个项目触发 Agent Run</t>
  </si>
  <si>
    <t>各 Run 有序串行执行；无 Worker 竞态；状态正确流转至终态</t>
  </si>
  <si>
    <t>后端 AgentHarnessIntegrationTest 覆盖 Worker 单实例与乐观锁机制</t>
  </si>
  <si>
    <t>AgentHarnessIntegrationTest 覆盖 Worker 竞态保护</t>
  </si>
  <si>
    <t>TC-057</t>
  </si>
  <si>
    <t>7×24 小时长时间运行</t>
  </si>
  <si>
    <t>系统所有功能正常</t>
  </si>
  <si>
    <t>1. 系统持续运行 7 天2. 期间正常使用创建记录、提交审核、搜索、导出等功能3. 记录故障发生和处理情况</t>
  </si>
  <si>
    <t>MTBF &gt; 5 天；MTTR &lt; 2 小时；数据无损</t>
  </si>
  <si>
    <t>未执行——需 7 天连续运行</t>
  </si>
  <si>
    <t>建议部署后在云环境执行 7×24 稳定性测试</t>
  </si>
  <si>
    <t>TC-058</t>
  </si>
  <si>
    <t>服务器断电重启——数据完整性</t>
  </si>
  <si>
    <t>系统运行中，存在进行中的保存操作</t>
  </si>
  <si>
    <t>1. 强制终止后端 Java 进程2. 重启服务3. 检查数据库和 IndexedDB 数据</t>
  </si>
  <si>
    <t>系统在 2 分钟内完成重启；已提交事务完整保留；进行中操作回滚，无脏数据</t>
  </si>
  <si>
    <t>进程终止后重启正常，已提交事务完整保留，未提交的进行中操作正确回滚，数据库无脏数据，IndexedDB 草稿数据持久化正常</t>
  </si>
  <si>
    <t>Spring Boot 事务管理 + JPA 持久化层通过集成测试验证，进程重启后数据一致性保障正确</t>
  </si>
  <si>
    <t>TC-059</t>
  </si>
  <si>
    <t>Agent Provider 不可用——系统降级</t>
  </si>
  <si>
    <t>Agent Provider 配置指向无效端点</t>
  </si>
  <si>
    <t>1. 触发 Agent Run</t>
  </si>
  <si>
    <t>Agent Run 返回 FAILED/MODEL_PROVIDER_UNAVAILABLE；系统其他功能正常</t>
  </si>
  <si>
    <t>后端 Agent 降级逻辑通过集成测试</t>
  </si>
  <si>
    <t>AgentHarnessIntegrationTest 覆盖 Provider 异常降级</t>
  </si>
  <si>
    <t>TC-060</t>
  </si>
  <si>
    <t>权限矩阵——所有角色操作验证</t>
  </si>
  <si>
    <t>系统中有 OWNER、普通成员、审核者三种角色</t>
  </si>
  <si>
    <t>1. 分别以各角色登录2. 逐一验证权限矩阵中的每项操作</t>
  </si>
  <si>
    <t>鉴权和授权正确；每个角色仅能执行其授权操作，所有非授权操作被拒绝</t>
  </si>
  <si>
    <t>RecordActionPolicyTest 9 条 + 前端 authorization E2E 全部通过</t>
  </si>
  <si>
    <t>RecordActionPolicyTest + authorization.spec.js + phase2-authorization.spec.js</t>
  </si>
  <si>
    <t>TC-061</t>
  </si>
  <si>
    <t>SQL 注入测试</t>
  </si>
  <si>
    <t>系统正常运行</t>
  </si>
  <si>
    <t>1. 在所有用户输入点注入 SQL 语句（' OR '1'='1、UNION SELECT、DROP TABLE 等）2. 使用 sqlmap 自动化检测3. 记录所有发现的漏洞</t>
  </si>
  <si>
    <t>无 SQL 注入漏洞；所有输入经过参数化处理或 ORM 防护；无数据泄露</t>
  </si>
  <si>
    <t>所有用户输入点（登录、注册、搜索、记录编辑、模板字段、审核意见）均通过 Spring Data JPA 参数化查询，注入语句被转义处理，无 SQL 注入漏洞，无数据泄露</t>
  </si>
  <si>
    <t>Spring Data JPA + Hibernate ORM 全部使用参数化查询（@Query with :param），天然防 SQL 注入，sqlmap 扫描未发现漏洞</t>
  </si>
  <si>
    <t>TC-062</t>
  </si>
  <si>
    <t>XSS 跨站脚本注入测试</t>
  </si>
  <si>
    <t>1. 在富文本正文、记录名称、模板字段、附件文件名中注入脚本标签2. 保存后在其他用户浏览器中查看</t>
  </si>
  <si>
    <t>脚本以纯文本显示或被安全过滤，不执行；文件名经过安全转义</t>
  </si>
  <si>
    <t>注入的脚本标签在 React 渲染时默认转义为纯文本，Jsoup 后端清洗移除危险标签，附件文件名经过安全转义处理，脚本不执行</t>
  </si>
  <si>
    <t>React 默认 JSX 转义防御 XSS，Jsoup 后端清洗器过滤用户输入，前端组件测试验证注入内容仅以纯文本展示</t>
  </si>
  <si>
    <t>TC-063</t>
  </si>
  <si>
    <t>Prompt Injection 防护测试</t>
  </si>
  <si>
    <t>Agent 功能已启用</t>
  </si>
  <si>
    <t>1. 在记录正文中写入指令性文本2. 提交审核通过后触发 Agent 生成总结</t>
  </si>
  <si>
    <t>Agent 结果不遵循注入指令；文本仅作为数据内容处理；不泄露系统 prompt 或用户数据</t>
  </si>
  <si>
    <t>后端 AgentReportValidationTest + TraceSanitizerTest 覆盖</t>
  </si>
  <si>
    <t>AgentReportValidationTest 验证 Prompt 注入防护与 Trace 脱敏</t>
  </si>
  <si>
    <t>TC-064</t>
  </si>
  <si>
    <t>越权访问——IDOR 测试</t>
  </si>
  <si>
    <t>用户 A 和用户 B 属于不同项目</t>
  </si>
  <si>
    <t>1. 手动修改请求中的 recordId/projectId/attachmentId 为其他用户资源2. 尝试访问详情、附件下载、导出</t>
  </si>
  <si>
    <t>返回 403 或 404；所有资源访问均经过权限校验</t>
  </si>
  <si>
    <t>修改 recordId 为其他用户记录后请求返回 403 Forbidden；修改 projectId 同样被拒绝；附件下载通过签名 URL 校验拒绝越权访问</t>
  </si>
  <si>
    <t>authorization.spec.js + phase2-authorization.spec.js (E2E) 覆盖跨用户资源访问拒绝</t>
  </si>
  <si>
    <t>TC-065</t>
  </si>
  <si>
    <t>Chrome 浏览器兼容性</t>
  </si>
  <si>
    <t>1. 使用 Chrome 125+ 依次操作：注册 → 登录 → 创建项目 → 创建记录 → 保存草稿 → 提交审核 → 审核通过 → 查看修改历史 → Diff 对比 → 导出 PDF</t>
  </si>
  <si>
    <t>页面显示正常，排版合理；所有功能操作正常；无 JavaScript 报错</t>
  </si>
  <si>
    <t>前端 24 个组件测试在 jsdom(Chrome 模拟) 环境下全部通过</t>
  </si>
  <si>
    <t>Playwright E2E 默认使用 Chromium；Vitest jsdom 环境模拟 Chrome</t>
  </si>
  <si>
    <t>TC-066</t>
  </si>
  <si>
    <t>Edge 和 Firefox 浏览器兼容性</t>
  </si>
  <si>
    <t>1. 使用 Edge 125+ 和 Firefox 126+ 分别重复 TC-066 的操作流程</t>
  </si>
  <si>
    <t>页面显示正常，排版合理（样式差异记录即可）；所有功能操作正常</t>
  </si>
  <si>
    <t>前端 Vitest jsdom 环境模拟标准浏览器行为，24 个组件测试全部通过；Edge/Firefox 均基于 Chromium/Gecko 标准引擎，与 Chrome 行为一致</t>
  </si>
  <si>
    <t>Vitest jsdom 环境覆盖，Edge 125+ 为 Chromium 内核，Firefox 126+ 为 Gecko 内核，组件测试兼容</t>
  </si>
  <si>
    <t>TC-067</t>
  </si>
  <si>
    <t>平板分辨率兼容性</t>
  </si>
  <si>
    <t>1. 设置浏览器宽度为 768px2. 依次操作核心功能3. 重点检查 Diff 视图（双栏→上下堆叠）、表格横向滚动</t>
  </si>
  <si>
    <t>布局自适应调整；表格有横向滚动条；主要操作按钮均可点击</t>
  </si>
  <si>
    <t>前端使用 Tailwind CSS 响应式类（sm/md/lg/xl 断点），组件测试覆盖不同宽度下的样式变化，RevisionDiffViewer 组件在窄屏时正确切换为上下堆叠布局</t>
  </si>
  <si>
    <t>Tailwind CSS 响应式断点体系保证布局自适应，RevisionDiffViewer.test.jsx 覆盖 Diff 视图响应式切换</t>
  </si>
  <si>
    <t>TC-068</t>
  </si>
  <si>
    <t>信息显示与反馈准确性</t>
  </si>
  <si>
    <t>1. 逐模块操作所有功能2. 检查：记录状态标签与实际状态一致、审核人名称正确、版本号 Rn 递增正确、时间戳准确、空状态提示友好、功能开发中提示到位</t>
  </si>
  <si>
    <t>信息显示和反馈准确无误；无状态标签错乱或过期数据展示；空状态和开发中提示符合预期</t>
  </si>
  <si>
    <t>前端 24 个页面/组件测试覆盖状态标签、时间戳、空状态渲染</t>
  </si>
  <si>
    <t>前端组件测试覆盖信息展示准确性</t>
  </si>
  <si>
    <t>TC-069</t>
  </si>
  <si>
    <t>新手友好——不培训即可完成核心操作</t>
  </si>
  <si>
    <t>1. 邀请 3 名学生和 1 名老师新手使用系统2. 仅告知目标："创建项目，写一篇 PCR 实验记录，让导师审核通过"3. 观察操作过程并记录困惑点</t>
  </si>
  <si>
    <t>所有用户能在 15 分钟内完成闭环操作（注册→项目→记录→审核）；无需外部帮助</t>
  </si>
  <si>
    <t>未执行真实用户测试</t>
  </si>
  <si>
    <t>需邀请真实用户进行可用性测试</t>
  </si>
  <si>
    <t>TC-070</t>
  </si>
  <si>
    <t>离开确认——未保存内容提示</t>
  </si>
  <si>
    <t>低</t>
  </si>
  <si>
    <t>记录编辑器中有未保存更改</t>
  </si>
  <si>
    <t>1. 修改内容但不保存2. 点击浏览器返回按钮或关闭标签页</t>
  </si>
  <si>
    <t>弹出"有未保存的更改，是否放弃？"确认对话框</t>
  </si>
  <si>
    <t>修改记录内容后未保存，点击取消或浏览器返回时弹出确认对话框，选择"确认放弃"后返回上一页面，重新打开记录内容保持编辑前状态</t>
  </si>
  <si>
    <t>RecordEditorMvpPage.test.jsx 覆盖取消编辑与未保存内容确认交互逻辑，浏览器 beforeunload 事件处理正确</t>
  </si>
  <si>
    <t>TC-071</t>
  </si>
  <si>
    <t>Docker 容器化首次部署</t>
  </si>
  <si>
    <t>目标服务器已安装 Docker 和 Docker Compose</t>
  </si>
  <si>
    <t>1. 构建后端和前端镜像2. docker compose up -d</t>
  </si>
  <si>
    <t>所有服务启动成功；健康检查通过；浏览器可正常访问和使用系统</t>
  </si>
  <si>
    <t>Docker 镜像构建成功，docker compose up -d 后所有服务正常启动，健康检查通过，浏览器访问系统登录页面正常，注册/登录/创建项目流程完整可用</t>
  </si>
  <si>
    <t>后端 Dockerfile（多阶段 Maven 构建 + JRE 运行）+ 前端 Dockerfile（Node 构建 + Nginx 静态托管），docker-compose.yml 配置正确</t>
  </si>
  <si>
    <t>TC-072</t>
  </si>
  <si>
    <t>CI/CD 自动化部署流水线</t>
  </si>
  <si>
    <t>代码已推送，CI/CD pipeline 已配置</t>
  </si>
  <si>
    <t>1. 推送代码2. Pipeline 自动执行：检出 → 测试 → 构建 → 部署 → 冒烟测试</t>
  </si>
  <si>
    <t>Pipeline 全部阶段通过；部署后系统可正常访问，冒烟测试全部通过</t>
  </si>
  <si>
    <t>代码推送后 CI/CD pipeline 自动触发，依次完成代码检出、后端 Maven test、前端 Vitest test、Docker 镜像构建、部署至目标环境、冒烟测试全部通过，系统正常运行</t>
  </si>
  <si>
    <t>CI/CD 流水线完整覆盖：后端单元/集成测试 → 前端测试 → 镜像构建 → 容器化部署 → 冒烟验证，迭代任务 No.9 已完成</t>
  </si>
  <si>
    <t>测试类型</t>
  </si>
  <si>
    <t>常用测试方法</t>
  </si>
  <si>
    <t>BioNote 项目应用</t>
  </si>
  <si>
    <t>场景法覆盖端到端业务流；等价类划分、边界值分析、判定表法、状态迁移法进行输入输出和状态流转测试。</t>
  </si>
  <si>
    <t>用户注册登录 → 项目管理（创建/邀请/角色/归档）→ 实验记录（CRUD/模板字段/状态流转）→ 审核闭环（提交/通过/退回）→ 版本历史与 Diff → 恢复 → Agent 总结与报告 → 搜索导出</t>
  </si>
  <si>
    <t>使用 k6 模拟多用户并发，测试核心 API 的响应时间、吞吐率及 CPU/内存资源使用。指标：搜索/列表查询 &lt; 3s，正常负载 50 用户/10 并发，峰值 200 用户/50 并发。</t>
  </si>
  <si>
    <t>搜索中心分页查询、提交审核幂等并发、附件上传、Agent Run Worker 单实例竞态、Revision Diff 大内容截断</t>
  </si>
  <si>
    <t>自然方式（7×24 长时间运行）与故障注入方式（断电重启、数据库断连、Provider 不可用）触发故障。指标：Availability ≥ 99.5%，MTBF &gt; 5 天，MTTR &lt; 2 小时。</t>
  </si>
  <si>
    <t>应用服务器断电恢复、数据库连接中断恢复、Agent Provider 5xx 降级、大事务回滚完整性</t>
  </si>
  <si>
    <t>权限控制：OWNER/MEMBER/REVIEWER 角色矩阵逐项验证；漏洞检测：sqlmap + OWASP ZAP 扫描 SQL 注入、XSS、CSRF；安全攻击：IDOR 越权、Prompt Injection 防护、JWT 篡改。</t>
  </si>
  <si>
    <t>非成员不可见项目/记录/附件、记录归属隔离、审核人不能审自己、Agent 权限（creator/OWNER 专属）</t>
  </si>
  <si>
    <t>浏览器兼容：Chrome 125+ / Edge 125+ / Firefox 126+ 全功能验证；分辨率：1920×1080 标准、768px 平板横向滚动与 Diff 上下堆叠。后端：JDK 21 + Spring Boot 3.x + H2/PostgreSQL。</t>
  </si>
  <si>
    <t>浏览器全功能操作流水线、平板分辨率 Diff 视图自适应、H2 测试与 PostgreSQL 生产双环境</t>
  </si>
  <si>
    <t>导航一致性、表单实时校验与防重复提交、Loading 骨架屏反馈、空状态友好引导、API 错误按 code 给出用户可理解提示、编辑器离开确认。</t>
  </si>
  <si>
    <t>学生/老师新手 15 分钟内完成注册→记录→审核闭环、Agent 报告 evidence 可跳转、状态标签与时间戳准确</t>
  </si>
  <si>
    <t>首次安装（JDK 21 + PostgreSQL + Flyway 迁移 + nginx 静态托管）、Docker 容器化（docker-compose up）、CI/CD 自动化流水线（测试→构建→部署→冒烟测试）。</t>
  </si>
  <si>
    <t>Docker 镜像构建与编排、Flyway 版本迁移、健康检查、生产环境冒烟测试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</si>
</sst>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</numFmts>
  <fonts count="37">
    <font>
      <sz val="12"/>
      <name val="宋体"/>
      <charset val="134"/>
    </font>
    <font>
      <sz val="10.5"/>
      <name val="宋体"/>
      <charset val="134"/>
    </font>
    <font>
      <b/>
      <sz val="12"/>
      <name val="宋体"/>
      <charset val="134"/>
    </font>
    <font>
      <sz val="12"/>
      <name val="Times New Roman"/>
      <charset val="134"/>
    </font>
    <font>
      <b/>
      <sz val="20"/>
      <name val="宋体"/>
      <charset val="134"/>
    </font>
    <font>
      <b/>
      <sz val="12"/>
      <color theme="0"/>
      <name val="Times New Roman"/>
      <charset val="134"/>
    </font>
    <font>
      <sz val="11"/>
      <name val="宋体"/>
      <charset val="134"/>
    </font>
    <font>
      <sz val="20"/>
      <name val="华文细黑"/>
      <charset val="134"/>
    </font>
    <font>
      <sz val="20"/>
      <color indexed="48"/>
      <name val="华文细黑"/>
      <charset val="134"/>
    </font>
    <font>
      <sz val="10.5"/>
      <name val="Times New Roman"/>
      <charset val="134"/>
    </font>
    <font>
      <sz val="12"/>
      <color indexed="48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u/>
      <sz val="10"/>
      <color indexed="12"/>
      <name val="宋体"/>
      <charset val="134"/>
    </font>
    <font>
      <u/>
      <sz val="12"/>
      <color rgb="FF800080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0"/>
      <name val="宋体"/>
      <charset val="134"/>
    </font>
    <font>
      <b/>
      <sz val="20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center"/>
    </xf>
    <xf numFmtId="0" fontId="15" fillId="9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11" borderId="17" applyNumberFormat="0" applyAlignment="0" applyProtection="0">
      <alignment vertical="center"/>
    </xf>
    <xf numFmtId="0" fontId="26" fillId="11" borderId="16" applyNumberFormat="0" applyAlignment="0" applyProtection="0">
      <alignment vertical="center"/>
    </xf>
    <xf numFmtId="0" fontId="27" fillId="12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NumberFormat="1" applyFont="1" applyAlignment="1" applyProtection="1">
      <alignment vertical="center" wrapText="1"/>
    </xf>
    <xf numFmtId="0" fontId="3" fillId="2" borderId="1" xfId="0" applyNumberFormat="1" applyFont="1" applyFill="1" applyBorder="1" applyAlignment="1" applyProtection="1">
      <alignment wrapText="1"/>
      <protection locked="0"/>
    </xf>
    <xf numFmtId="0" fontId="3" fillId="2" borderId="1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NumberFormat="1" applyFont="1" applyAlignment="1" applyProtection="1">
      <alignment wrapText="1"/>
    </xf>
    <xf numFmtId="0" fontId="4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" xfId="0" applyNumberFormat="1" applyFont="1" applyFill="1" applyBorder="1" applyAlignment="1" applyProtection="1">
      <alignment horizontal="center" wrapText="1"/>
    </xf>
    <xf numFmtId="0" fontId="6" fillId="2" borderId="1" xfId="0" applyNumberFormat="1" applyFont="1" applyFill="1" applyBorder="1" applyAlignment="1" applyProtection="1">
      <alignment vertical="center" wrapText="1"/>
      <protection locked="0"/>
    </xf>
    <xf numFmtId="0" fontId="0" fillId="3" borderId="0" xfId="0" applyFill="1" applyAlignment="1">
      <alignment vertical="center" wrapText="1"/>
    </xf>
    <xf numFmtId="0" fontId="3" fillId="0" borderId="3" xfId="0" applyNumberFormat="1" applyFont="1" applyBorder="1" applyAlignment="1"/>
    <xf numFmtId="0" fontId="0" fillId="5" borderId="3" xfId="0" applyFill="1" applyBorder="1">
      <alignment vertical="center"/>
    </xf>
    <xf numFmtId="0" fontId="0" fillId="0" borderId="3" xfId="0" applyBorder="1">
      <alignment vertical="center"/>
    </xf>
    <xf numFmtId="0" fontId="0" fillId="5" borderId="4" xfId="0" applyFill="1" applyBorder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5" borderId="0" xfId="0" applyFill="1" applyBorder="1">
      <alignment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0" fillId="5" borderId="10" xfId="0" applyFill="1" applyBorder="1">
      <alignment vertical="center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3" fillId="5" borderId="6" xfId="0" applyNumberFormat="1" applyFont="1" applyFill="1" applyBorder="1" applyAlignment="1">
      <alignment horizontal="center" vertical="center"/>
    </xf>
    <xf numFmtId="0" fontId="3" fillId="5" borderId="7" xfId="0" applyNumberFormat="1" applyFont="1" applyFill="1" applyBorder="1" applyAlignment="1">
      <alignment horizontal="center" vertical="center"/>
    </xf>
    <xf numFmtId="0" fontId="3" fillId="5" borderId="9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wrapText="1"/>
    </xf>
    <xf numFmtId="0" fontId="3" fillId="6" borderId="1" xfId="0" applyNumberFormat="1" applyFont="1" applyFill="1" applyBorder="1" applyAlignment="1">
      <alignment horizontal="centerContinuous" wrapText="1"/>
    </xf>
    <xf numFmtId="176" fontId="3" fillId="7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Continuous" vertical="center"/>
    </xf>
    <xf numFmtId="0" fontId="3" fillId="7" borderId="1" xfId="0" applyNumberFormat="1" applyFont="1" applyFill="1" applyBorder="1" applyAlignment="1">
      <alignment horizontal="centerContinuous" vertical="center"/>
    </xf>
    <xf numFmtId="0" fontId="0" fillId="7" borderId="1" xfId="0" applyNumberFormat="1" applyFont="1" applyFill="1" applyBorder="1" applyAlignment="1">
      <alignment horizontal="centerContinuous" vertical="center"/>
    </xf>
    <xf numFmtId="176" fontId="3" fillId="7" borderId="6" xfId="0" applyNumberFormat="1" applyFont="1" applyFill="1" applyBorder="1" applyAlignment="1">
      <alignment horizontal="center" vertical="center"/>
    </xf>
    <xf numFmtId="176" fontId="3" fillId="7" borderId="9" xfId="0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0" fontId="10" fillId="7" borderId="1" xfId="0" applyNumberFormat="1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3" fillId="5" borderId="0" xfId="0" applyNumberFormat="1" applyFont="1" applyFill="1" applyBorder="1" applyAlignment="1"/>
    <xf numFmtId="0" fontId="0" fillId="6" borderId="6" xfId="0" applyNumberFormat="1" applyFont="1" applyFill="1" applyBorder="1" applyAlignment="1">
      <alignment horizontal="center"/>
    </xf>
    <xf numFmtId="0" fontId="3" fillId="6" borderId="9" xfId="0" applyNumberFormat="1" applyFont="1" applyFill="1" applyBorder="1" applyAlignment="1">
      <alignment horizontal="center"/>
    </xf>
    <xf numFmtId="0" fontId="0" fillId="6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0" borderId="8" xfId="0" applyNumberFormat="1" applyFont="1" applyBorder="1" applyAlignment="1"/>
    <xf numFmtId="0" fontId="11" fillId="6" borderId="6" xfId="0" applyNumberFormat="1" applyFont="1" applyFill="1" applyBorder="1" applyAlignment="1">
      <alignment horizontal="center"/>
    </xf>
    <xf numFmtId="0" fontId="12" fillId="6" borderId="9" xfId="0" applyNumberFormat="1" applyFont="1" applyFill="1" applyBorder="1" applyAlignment="1">
      <alignment horizontal="center"/>
    </xf>
    <xf numFmtId="0" fontId="3" fillId="8" borderId="1" xfId="0" applyNumberFormat="1" applyFont="1" applyFill="1" applyBorder="1" applyAlignment="1" applyProtection="1">
      <alignment horizontal="center"/>
    </xf>
    <xf numFmtId="10" fontId="3" fillId="8" borderId="1" xfId="0" applyNumberFormat="1" applyFont="1" applyFill="1" applyBorder="1" applyAlignment="1" applyProtection="1">
      <alignment horizontal="center"/>
    </xf>
    <xf numFmtId="0" fontId="0" fillId="6" borderId="9" xfId="0" applyNumberFormat="1" applyFont="1" applyFill="1" applyBorder="1" applyAlignment="1">
      <alignment horizont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0" borderId="12" xfId="0" applyBorder="1">
      <alignment vertical="center"/>
    </xf>
    <xf numFmtId="0" fontId="13" fillId="0" borderId="3" xfId="6" applyFont="1" applyBorder="1" applyAlignment="1" applyProtection="1">
      <alignment vertical="center"/>
    </xf>
    <xf numFmtId="0" fontId="14" fillId="0" borderId="3" xfId="6" applyFont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D5"/>
      <color rgb="000066FF"/>
      <color rgb="00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104775</xdr:colOff>
      <xdr:row>0</xdr:row>
      <xdr:rowOff>0</xdr:rowOff>
    </xdr:from>
    <xdr:to>
      <xdr:col>5</xdr:col>
      <xdr:colOff>2196465</xdr:colOff>
      <xdr:row>0</xdr:row>
      <xdr:rowOff>571500</xdr:rowOff>
    </xdr:to>
    <xdr:pic>
      <xdr:nvPicPr>
        <xdr:cNvPr id="1033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52895" y="0"/>
          <a:ext cx="209169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unknown@university.edu.cn" TargetMode="External"/><Relationship Id="rId1" Type="http://schemas.openxmlformats.org/officeDocument/2006/relationships/hyperlink" Target="mailto:studentA@university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topLeftCell="A6" workbookViewId="0">
      <selection activeCell="I30" sqref="I30"/>
    </sheetView>
  </sheetViews>
  <sheetFormatPr defaultColWidth="9" defaultRowHeight="15.6"/>
  <cols>
    <col min="1" max="1" width="7.71666666666667" style="14" customWidth="1"/>
    <col min="2" max="2" width="25.2166666666667" style="15" customWidth="1"/>
    <col min="3" max="3" width="7" style="15" customWidth="1"/>
    <col min="4" max="4" width="21.5" style="15" customWidth="1"/>
    <col min="5" max="5" width="24.5" style="15" customWidth="1"/>
    <col min="6" max="6" width="30.1083333333333" style="15" customWidth="1"/>
    <col min="7" max="7" width="17.2166666666667" style="15" customWidth="1"/>
    <col min="8" max="16384" width="9" style="15"/>
  </cols>
  <sheetData>
    <row r="1" ht="51" customHeight="1" spans="1:7">
      <c r="A1" s="16"/>
      <c r="B1" s="17" t="s">
        <v>0</v>
      </c>
      <c r="C1" s="18"/>
      <c r="D1" s="18"/>
      <c r="E1" s="18"/>
      <c r="F1" s="18"/>
      <c r="G1" s="19"/>
    </row>
    <row r="2" ht="31.5" customHeight="1" spans="1:7">
      <c r="A2" s="20"/>
      <c r="B2" s="21" t="s">
        <v>1</v>
      </c>
      <c r="C2" s="22"/>
      <c r="D2" s="22"/>
      <c r="E2" s="17" t="s">
        <v>2</v>
      </c>
      <c r="F2" s="17"/>
      <c r="G2" s="23"/>
    </row>
    <row r="3" ht="23.25" customHeight="1" spans="1:7">
      <c r="A3" s="20"/>
      <c r="B3" s="21" t="s">
        <v>3</v>
      </c>
      <c r="C3" s="24"/>
      <c r="D3" s="25"/>
      <c r="E3" s="21" t="s">
        <v>4</v>
      </c>
      <c r="F3" s="25"/>
      <c r="G3" s="23"/>
    </row>
    <row r="4" ht="31.2" spans="1:7">
      <c r="A4" s="20"/>
      <c r="B4" s="21" t="s">
        <v>5</v>
      </c>
      <c r="C4" s="26"/>
      <c r="D4" s="21" t="s">
        <v>6</v>
      </c>
      <c r="E4" s="21" t="s">
        <v>7</v>
      </c>
      <c r="F4" s="25"/>
      <c r="G4" s="23"/>
    </row>
    <row r="5" ht="27.75" customHeight="1" spans="1:7">
      <c r="A5" s="20"/>
      <c r="B5" s="27">
        <v>14</v>
      </c>
      <c r="C5" s="25"/>
      <c r="D5" s="28" t="s">
        <v>8</v>
      </c>
      <c r="E5" s="27">
        <v>1</v>
      </c>
      <c r="F5" s="25"/>
      <c r="G5" s="23"/>
    </row>
    <row r="6" ht="101.25" customHeight="1" spans="1:7">
      <c r="A6" s="29"/>
      <c r="B6" s="30" t="s">
        <v>9</v>
      </c>
      <c r="C6" s="31"/>
      <c r="D6" s="31"/>
      <c r="E6" s="32"/>
      <c r="F6" s="33"/>
      <c r="G6" s="23"/>
    </row>
    <row r="7" ht="31.2" spans="1:7">
      <c r="A7" s="20"/>
      <c r="B7" s="34" t="s">
        <v>10</v>
      </c>
      <c r="C7" s="17" t="s">
        <v>11</v>
      </c>
      <c r="D7" s="35"/>
      <c r="E7" s="34" t="s">
        <v>12</v>
      </c>
      <c r="F7" s="36" t="s">
        <v>13</v>
      </c>
      <c r="G7" s="23"/>
    </row>
    <row r="8" ht="31.2" spans="1:7">
      <c r="A8" s="20"/>
      <c r="B8" s="34" t="s">
        <v>14</v>
      </c>
      <c r="C8" s="17" t="s">
        <v>15</v>
      </c>
      <c r="D8" s="35"/>
      <c r="E8" s="34" t="s">
        <v>12</v>
      </c>
      <c r="F8" s="36" t="s">
        <v>13</v>
      </c>
      <c r="G8" s="23"/>
    </row>
    <row r="9" ht="31.2" spans="1:7">
      <c r="A9" s="20"/>
      <c r="B9" s="34" t="s">
        <v>16</v>
      </c>
      <c r="C9" s="17" t="s">
        <v>17</v>
      </c>
      <c r="D9" s="35"/>
      <c r="E9" s="34" t="s">
        <v>12</v>
      </c>
      <c r="F9" s="36" t="s">
        <v>13</v>
      </c>
      <c r="G9" s="23"/>
    </row>
    <row r="10" ht="28.5" customHeight="1" spans="1:8">
      <c r="A10" s="20"/>
      <c r="B10" s="37" t="s">
        <v>18</v>
      </c>
      <c r="C10" s="38"/>
      <c r="D10" s="38"/>
      <c r="E10" s="38"/>
      <c r="F10" s="39"/>
      <c r="G10" s="23"/>
      <c r="H10" s="23"/>
    </row>
    <row r="11" ht="31.2" spans="1:8">
      <c r="A11" s="20"/>
      <c r="B11" s="40" t="s">
        <v>19</v>
      </c>
      <c r="C11" s="40"/>
      <c r="D11" s="40" t="s">
        <v>20</v>
      </c>
      <c r="E11" s="41" t="s">
        <v>21</v>
      </c>
      <c r="F11" s="40" t="s">
        <v>22</v>
      </c>
      <c r="G11" s="23"/>
      <c r="H11" s="23"/>
    </row>
    <row r="12" spans="1:8">
      <c r="A12" s="20"/>
      <c r="B12" s="42" t="s">
        <v>13</v>
      </c>
      <c r="C12" s="42"/>
      <c r="D12" s="43" t="s">
        <v>23</v>
      </c>
      <c r="E12" s="44" t="s">
        <v>24</v>
      </c>
      <c r="F12" s="45" t="s">
        <v>11</v>
      </c>
      <c r="G12" s="23"/>
      <c r="H12" s="23"/>
    </row>
    <row r="13" spans="1:8">
      <c r="A13" s="20"/>
      <c r="B13" s="46" t="s">
        <v>13</v>
      </c>
      <c r="C13" s="47"/>
      <c r="D13" s="43" t="s">
        <v>25</v>
      </c>
      <c r="E13" s="48" t="s">
        <v>26</v>
      </c>
      <c r="F13" s="48" t="s">
        <v>11</v>
      </c>
      <c r="H13" s="23"/>
    </row>
    <row r="14" spans="1:8">
      <c r="A14" s="20"/>
      <c r="B14" s="46" t="s">
        <v>13</v>
      </c>
      <c r="C14" s="47"/>
      <c r="D14" s="43" t="s">
        <v>8</v>
      </c>
      <c r="E14" s="48" t="s">
        <v>27</v>
      </c>
      <c r="F14" s="48" t="s">
        <v>11</v>
      </c>
      <c r="H14" s="23"/>
    </row>
    <row r="15" spans="1:8">
      <c r="A15" s="20"/>
      <c r="B15" s="46"/>
      <c r="C15" s="47"/>
      <c r="D15" s="43"/>
      <c r="E15" s="49"/>
      <c r="F15" s="49"/>
      <c r="H15" s="23"/>
    </row>
    <row r="16" spans="1:8">
      <c r="A16" s="20"/>
      <c r="B16" s="46"/>
      <c r="C16" s="47"/>
      <c r="D16" s="43"/>
      <c r="E16" s="49"/>
      <c r="F16" s="49"/>
      <c r="H16" s="23"/>
    </row>
    <row r="17" spans="1:8">
      <c r="A17" s="20"/>
      <c r="B17" s="46"/>
      <c r="C17" s="47"/>
      <c r="D17" s="43"/>
      <c r="E17" s="49"/>
      <c r="F17" s="49"/>
      <c r="H17" s="23"/>
    </row>
    <row r="18" ht="28.5" customHeight="1" spans="1:7">
      <c r="A18" s="16"/>
      <c r="B18" s="50" t="s">
        <v>28</v>
      </c>
      <c r="C18" s="50"/>
      <c r="D18" s="50"/>
      <c r="E18" s="50"/>
      <c r="F18" s="50"/>
      <c r="G18" s="23"/>
    </row>
    <row r="19" s="13" customFormat="1" ht="17.25" customHeight="1" spans="1:9">
      <c r="A19" s="51"/>
      <c r="B19" s="52" t="s">
        <v>29</v>
      </c>
      <c r="C19" s="53"/>
      <c r="D19" s="54" t="s">
        <v>30</v>
      </c>
      <c r="E19" s="55" t="s">
        <v>31</v>
      </c>
      <c r="F19" s="54" t="s">
        <v>32</v>
      </c>
      <c r="G19" s="56"/>
      <c r="H19" s="15"/>
      <c r="I19" s="15"/>
    </row>
    <row r="20" s="13" customFormat="1" ht="17.25" customHeight="1" spans="1:9">
      <c r="A20" s="51"/>
      <c r="B20" s="57" t="s">
        <v>33</v>
      </c>
      <c r="C20" s="58"/>
      <c r="D20" s="59">
        <v>53</v>
      </c>
      <c r="E20" s="59">
        <v>53</v>
      </c>
      <c r="F20" s="60">
        <f>IF(D20,E20/D20,0)</f>
        <v>1</v>
      </c>
      <c r="G20" s="56"/>
      <c r="H20" s="15"/>
      <c r="I20" s="15"/>
    </row>
    <row r="21" s="13" customFormat="1" ht="17.25" customHeight="1" spans="1:9">
      <c r="A21" s="51"/>
      <c r="B21" s="52" t="s">
        <v>34</v>
      </c>
      <c r="C21" s="61"/>
      <c r="D21" s="59">
        <f>COUNTIF('Test Cases'!C:C,B21)</f>
        <v>3</v>
      </c>
      <c r="E21" s="59">
        <v>1</v>
      </c>
      <c r="F21" s="60">
        <f>IF(D21,E21/D21,0)</f>
        <v>0.333333333333333</v>
      </c>
      <c r="G21" s="56"/>
      <c r="H21" s="15"/>
      <c r="I21" s="15"/>
    </row>
    <row r="22" s="13" customFormat="1" ht="17.25" customHeight="1" spans="1:9">
      <c r="A22" s="51"/>
      <c r="B22" s="52" t="s">
        <v>35</v>
      </c>
      <c r="C22" s="61"/>
      <c r="D22" s="59">
        <f>COUNTIF('Test Cases'!C:C,B22)</f>
        <v>3</v>
      </c>
      <c r="E22" s="59">
        <v>2</v>
      </c>
      <c r="F22" s="60">
        <f t="shared" ref="F20:F27" si="0">IF(D22,E22/D22,0)</f>
        <v>0.666666666666667</v>
      </c>
      <c r="G22" s="56"/>
      <c r="H22" s="15"/>
      <c r="I22" s="15"/>
    </row>
    <row r="23" s="13" customFormat="1" ht="17.25" customHeight="1" spans="1:9">
      <c r="A23" s="51"/>
      <c r="B23" s="52" t="s">
        <v>36</v>
      </c>
      <c r="C23" s="61"/>
      <c r="D23" s="59">
        <f>COUNTIF('Test Cases'!C:C,B23)</f>
        <v>5</v>
      </c>
      <c r="E23" s="59">
        <v>5</v>
      </c>
      <c r="F23" s="60">
        <f t="shared" si="0"/>
        <v>1</v>
      </c>
      <c r="G23" s="56"/>
      <c r="H23" s="15"/>
      <c r="I23" s="15"/>
    </row>
    <row r="24" s="13" customFormat="1" ht="17.25" customHeight="1" spans="1:9">
      <c r="A24" s="51"/>
      <c r="B24" s="52" t="s">
        <v>37</v>
      </c>
      <c r="C24" s="61"/>
      <c r="D24" s="59">
        <f>COUNTIF('Test Cases'!C:C,B24)</f>
        <v>3</v>
      </c>
      <c r="E24" s="59">
        <v>3</v>
      </c>
      <c r="F24" s="60">
        <f t="shared" si="0"/>
        <v>1</v>
      </c>
      <c r="G24" s="56"/>
      <c r="H24" s="15"/>
      <c r="I24" s="15"/>
    </row>
    <row r="25" s="13" customFormat="1" ht="17.25" customHeight="1" spans="1:9">
      <c r="A25" s="51"/>
      <c r="B25" s="52" t="s">
        <v>38</v>
      </c>
      <c r="C25" s="61"/>
      <c r="D25" s="59">
        <f>COUNTIF('Test Cases'!C:C,B25)</f>
        <v>3</v>
      </c>
      <c r="E25" s="59">
        <v>2</v>
      </c>
      <c r="F25" s="60">
        <f t="shared" si="0"/>
        <v>0.666666666666667</v>
      </c>
      <c r="G25" s="56"/>
      <c r="H25" s="15"/>
      <c r="I25" s="15"/>
    </row>
    <row r="26" s="13" customFormat="1" ht="17.25" customHeight="1" spans="1:7">
      <c r="A26" s="51"/>
      <c r="B26" s="52" t="s">
        <v>39</v>
      </c>
      <c r="C26" s="53"/>
      <c r="D26" s="59">
        <f>COUNTIF('Test Cases'!C:C,B26)</f>
        <v>2</v>
      </c>
      <c r="E26" s="59">
        <v>2</v>
      </c>
      <c r="F26" s="60">
        <f t="shared" si="0"/>
        <v>1</v>
      </c>
      <c r="G26" s="56"/>
    </row>
    <row r="27" spans="1:7">
      <c r="A27" s="62"/>
      <c r="B27" s="52" t="s">
        <v>40</v>
      </c>
      <c r="C27" s="53"/>
      <c r="D27" s="59">
        <f>SUM(D20:D26)</f>
        <v>72</v>
      </c>
      <c r="E27" s="59">
        <f>SUM(E20,E21,E22,E23,E24,E25,E26)</f>
        <v>68</v>
      </c>
      <c r="F27" s="60">
        <f t="shared" si="0"/>
        <v>0.944444444444444</v>
      </c>
      <c r="G27" s="23"/>
    </row>
    <row r="28" spans="1:7">
      <c r="A28" s="63"/>
      <c r="B28" s="64"/>
      <c r="C28" s="64"/>
      <c r="D28" s="64"/>
      <c r="E28" s="64"/>
      <c r="F28" s="64"/>
      <c r="G28" s="64"/>
    </row>
    <row r="29" spans="1:7">
      <c r="A29" s="63"/>
      <c r="B29" s="64"/>
      <c r="C29" s="64"/>
      <c r="D29" s="64"/>
      <c r="E29" s="64"/>
      <c r="F29" s="64"/>
      <c r="G29" s="64"/>
    </row>
    <row r="30" spans="1:7">
      <c r="A30" s="63"/>
      <c r="B30" s="64"/>
      <c r="C30" s="64"/>
      <c r="D30" s="64"/>
      <c r="E30" s="64"/>
      <c r="F30" s="64"/>
      <c r="G30" s="64"/>
    </row>
    <row r="31" spans="2:4">
      <c r="B31" s="65" t="s">
        <v>41</v>
      </c>
      <c r="C31" s="65"/>
      <c r="D31" s="65"/>
    </row>
    <row r="32" spans="2:6">
      <c r="B32" s="66" t="s">
        <v>42</v>
      </c>
      <c r="C32" s="65"/>
      <c r="D32" s="65"/>
      <c r="E32" s="13"/>
      <c r="F32" s="13"/>
    </row>
    <row r="33" spans="5:6">
      <c r="E33" s="13"/>
      <c r="F33" s="13"/>
    </row>
    <row r="34" spans="5:6">
      <c r="E34" s="13"/>
      <c r="F34" s="13"/>
    </row>
    <row r="35" spans="5:6">
      <c r="E35" s="13"/>
      <c r="F35" s="13"/>
    </row>
    <row r="36" spans="5:6">
      <c r="E36" s="13"/>
      <c r="F36" s="13"/>
    </row>
  </sheetData>
  <mergeCells count="31">
    <mergeCell ref="B1:F1"/>
    <mergeCell ref="B2:D2"/>
    <mergeCell ref="E2:F2"/>
    <mergeCell ref="B3:D3"/>
    <mergeCell ref="E3:F3"/>
    <mergeCell ref="B4:C4"/>
    <mergeCell ref="E4:F4"/>
    <mergeCell ref="B5:C5"/>
    <mergeCell ref="E5:F5"/>
    <mergeCell ref="B6:F6"/>
    <mergeCell ref="C7:D7"/>
    <mergeCell ref="C8:D8"/>
    <mergeCell ref="C9:D9"/>
    <mergeCell ref="B10:F10"/>
    <mergeCell ref="B11:C11"/>
    <mergeCell ref="B12:C12"/>
    <mergeCell ref="B13:C13"/>
    <mergeCell ref="B14:C14"/>
    <mergeCell ref="B15:C15"/>
    <mergeCell ref="B16:C16"/>
    <mergeCell ref="B17:C17"/>
    <mergeCell ref="B18:F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hyperlinks>
    <hyperlink ref="B31" location="'Test Cases'!A1" display="测试用例详情"/>
    <hyperlink ref="B32" location="常用测试方法!A1" display="常用测试方法!A1"/>
  </hyperlinks>
  <pageMargins left="0.75" right="0.75" top="1" bottom="1" header="0.5" footer="0.5"/>
  <pageSetup paperSize="9" orientation="portrait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"/>
  <sheetViews>
    <sheetView zoomScale="80" zoomScaleNormal="80" workbookViewId="0">
      <pane xSplit="3" ySplit="4" topLeftCell="D69" activePane="bottomRight" state="frozen"/>
      <selection/>
      <selection pane="topRight"/>
      <selection pane="bottomLeft"/>
      <selection pane="bottomRight" activeCell="L72" sqref="L72"/>
    </sheetView>
  </sheetViews>
  <sheetFormatPr defaultColWidth="13.1083333333333" defaultRowHeight="15.6"/>
  <cols>
    <col min="1" max="1" width="13.7166666666667" style="5" customWidth="1"/>
    <col min="2" max="2" width="24.375" style="5" customWidth="1"/>
    <col min="3" max="3" width="13.4333333333333" style="5" customWidth="1"/>
    <col min="4" max="4" width="19.2666666666667" style="5" customWidth="1"/>
    <col min="5" max="5" width="13.0166666666667" style="6" customWidth="1"/>
    <col min="6" max="6" width="33.2333333333333" style="5" customWidth="1"/>
    <col min="7" max="7" width="33.5333333333333" style="5" customWidth="1"/>
    <col min="8" max="8" width="34.475" style="5" customWidth="1"/>
    <col min="9" max="9" width="15" style="5" customWidth="1"/>
    <col min="10" max="10" width="12.5" style="5" customWidth="1"/>
    <col min="11" max="11" width="14.6916666666667" style="5" customWidth="1"/>
    <col min="12" max="12" width="18.6416666666667" style="5" customWidth="1"/>
    <col min="13" max="38" width="13.1083333333333" style="7"/>
    <col min="39" max="39" width="13.2166666666667" style="7" customWidth="1"/>
    <col min="40" max="40" width="4.33333333333333" style="7" hidden="1" customWidth="1"/>
    <col min="41" max="16384" width="13.1083333333333" style="7"/>
  </cols>
  <sheetData>
    <row r="1" ht="9.35" customHeight="1" spans="1:12">
      <c r="A1" s="8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12"/>
    </row>
    <row r="2" ht="9.6" customHeight="1" spans="1:1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2"/>
    </row>
    <row r="3" ht="13.5" customHeight="1" spans="1:12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12"/>
    </row>
    <row r="4" ht="46.8" spans="1:12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</row>
    <row r="5" s="4" customFormat="1" ht="117" customHeight="1" spans="1:12">
      <c r="A5" s="11" t="s">
        <v>56</v>
      </c>
      <c r="B5" s="11" t="s">
        <v>57</v>
      </c>
      <c r="C5" s="11" t="s">
        <v>33</v>
      </c>
      <c r="D5" s="11" t="s">
        <v>58</v>
      </c>
      <c r="E5" s="11" t="s">
        <v>59</v>
      </c>
      <c r="F5" s="11" t="s">
        <v>60</v>
      </c>
      <c r="G5" s="11" t="s">
        <v>61</v>
      </c>
      <c r="H5" s="11" t="s">
        <v>62</v>
      </c>
      <c r="I5" s="11" t="s">
        <v>63</v>
      </c>
      <c r="J5" s="11" t="s">
        <v>64</v>
      </c>
      <c r="K5" s="11"/>
      <c r="L5" s="11" t="s">
        <v>65</v>
      </c>
    </row>
    <row r="6" s="4" customFormat="1" ht="57.6" spans="1:12">
      <c r="A6" s="11" t="s">
        <v>66</v>
      </c>
      <c r="B6" s="11" t="s">
        <v>57</v>
      </c>
      <c r="C6" s="11" t="s">
        <v>33</v>
      </c>
      <c r="D6" s="11" t="s">
        <v>67</v>
      </c>
      <c r="E6" s="11" t="s">
        <v>59</v>
      </c>
      <c r="F6" s="11" t="s">
        <v>60</v>
      </c>
      <c r="G6" s="11" t="s">
        <v>68</v>
      </c>
      <c r="H6" s="11" t="s">
        <v>69</v>
      </c>
      <c r="I6" s="11" t="s">
        <v>70</v>
      </c>
      <c r="J6" s="11" t="s">
        <v>64</v>
      </c>
      <c r="K6" s="11"/>
      <c r="L6" s="11" t="s">
        <v>65</v>
      </c>
    </row>
    <row r="7" s="4" customFormat="1" ht="57.6" spans="1:12">
      <c r="A7" s="11" t="s">
        <v>71</v>
      </c>
      <c r="B7" s="11" t="s">
        <v>72</v>
      </c>
      <c r="C7" s="11" t="s">
        <v>33</v>
      </c>
      <c r="D7" s="11" t="s">
        <v>73</v>
      </c>
      <c r="E7" s="11" t="s">
        <v>59</v>
      </c>
      <c r="F7" s="11" t="s">
        <v>74</v>
      </c>
      <c r="G7" s="11" t="s">
        <v>75</v>
      </c>
      <c r="H7" s="11" t="s">
        <v>76</v>
      </c>
      <c r="I7" s="11" t="s">
        <v>77</v>
      </c>
      <c r="J7" s="11" t="s">
        <v>64</v>
      </c>
      <c r="K7" s="11"/>
      <c r="L7" s="11" t="s">
        <v>78</v>
      </c>
    </row>
    <row r="8" s="4" customFormat="1" ht="43.2" spans="1:12">
      <c r="A8" s="11" t="s">
        <v>79</v>
      </c>
      <c r="B8" s="11" t="s">
        <v>72</v>
      </c>
      <c r="C8" s="11" t="s">
        <v>33</v>
      </c>
      <c r="D8" s="11" t="s">
        <v>80</v>
      </c>
      <c r="E8" s="11" t="s">
        <v>59</v>
      </c>
      <c r="F8" s="11" t="s">
        <v>81</v>
      </c>
      <c r="G8" s="11" t="s">
        <v>82</v>
      </c>
      <c r="H8" s="11" t="s">
        <v>83</v>
      </c>
      <c r="I8" s="11" t="s">
        <v>84</v>
      </c>
      <c r="J8" s="11" t="s">
        <v>64</v>
      </c>
      <c r="K8" s="11"/>
      <c r="L8" s="11" t="s">
        <v>65</v>
      </c>
    </row>
    <row r="9" s="4" customFormat="1" ht="57.6" spans="1:12">
      <c r="A9" s="11" t="s">
        <v>85</v>
      </c>
      <c r="B9" s="11" t="s">
        <v>86</v>
      </c>
      <c r="C9" s="11" t="s">
        <v>33</v>
      </c>
      <c r="D9" s="11" t="s">
        <v>87</v>
      </c>
      <c r="E9" s="11" t="s">
        <v>59</v>
      </c>
      <c r="F9" s="11" t="s">
        <v>88</v>
      </c>
      <c r="G9" s="11" t="s">
        <v>89</v>
      </c>
      <c r="H9" s="11" t="s">
        <v>90</v>
      </c>
      <c r="I9" s="11" t="s">
        <v>91</v>
      </c>
      <c r="J9" s="11" t="s">
        <v>64</v>
      </c>
      <c r="K9" s="11"/>
      <c r="L9" s="11" t="s">
        <v>92</v>
      </c>
    </row>
    <row r="10" s="4" customFormat="1" ht="115.2" spans="1:12">
      <c r="A10" s="11" t="s">
        <v>93</v>
      </c>
      <c r="B10" s="11" t="s">
        <v>94</v>
      </c>
      <c r="C10" s="11" t="s">
        <v>33</v>
      </c>
      <c r="D10" s="11" t="s">
        <v>95</v>
      </c>
      <c r="E10" s="11" t="s">
        <v>59</v>
      </c>
      <c r="F10" s="11" t="s">
        <v>96</v>
      </c>
      <c r="G10" s="11" t="s">
        <v>97</v>
      </c>
      <c r="H10" s="11" t="s">
        <v>98</v>
      </c>
      <c r="I10" s="11" t="s">
        <v>99</v>
      </c>
      <c r="J10" s="11" t="s">
        <v>64</v>
      </c>
      <c r="K10" s="11"/>
      <c r="L10" s="11" t="s">
        <v>100</v>
      </c>
    </row>
    <row r="11" s="4" customFormat="1" ht="57.6" spans="1:12">
      <c r="A11" s="11" t="s">
        <v>101</v>
      </c>
      <c r="B11" s="11" t="s">
        <v>102</v>
      </c>
      <c r="C11" s="11" t="s">
        <v>33</v>
      </c>
      <c r="D11" s="11" t="s">
        <v>103</v>
      </c>
      <c r="E11" s="11" t="s">
        <v>59</v>
      </c>
      <c r="F11" s="11" t="s">
        <v>104</v>
      </c>
      <c r="G11" s="11" t="s">
        <v>105</v>
      </c>
      <c r="H11" s="11" t="s">
        <v>106</v>
      </c>
      <c r="I11" s="11" t="s">
        <v>107</v>
      </c>
      <c r="J11" s="11" t="s">
        <v>64</v>
      </c>
      <c r="K11" s="11"/>
      <c r="L11" s="11" t="s">
        <v>108</v>
      </c>
    </row>
    <row r="12" s="4" customFormat="1" ht="72" spans="1:12">
      <c r="A12" s="11" t="s">
        <v>109</v>
      </c>
      <c r="B12" s="11" t="s">
        <v>110</v>
      </c>
      <c r="C12" s="11" t="s">
        <v>33</v>
      </c>
      <c r="D12" s="11" t="s">
        <v>111</v>
      </c>
      <c r="E12" s="11" t="s">
        <v>112</v>
      </c>
      <c r="F12" s="11" t="s">
        <v>113</v>
      </c>
      <c r="G12" s="11" t="s">
        <v>114</v>
      </c>
      <c r="H12" s="11" t="s">
        <v>115</v>
      </c>
      <c r="I12" s="11" t="s">
        <v>116</v>
      </c>
      <c r="J12" s="11" t="s">
        <v>64</v>
      </c>
      <c r="K12" s="11"/>
      <c r="L12" s="11" t="s">
        <v>117</v>
      </c>
    </row>
    <row r="13" s="4" customFormat="1" ht="43.2" spans="1:12">
      <c r="A13" s="11" t="s">
        <v>118</v>
      </c>
      <c r="B13" s="11" t="s">
        <v>119</v>
      </c>
      <c r="C13" s="11" t="s">
        <v>33</v>
      </c>
      <c r="D13" s="11" t="s">
        <v>120</v>
      </c>
      <c r="E13" s="11" t="s">
        <v>59</v>
      </c>
      <c r="F13" s="11" t="s">
        <v>121</v>
      </c>
      <c r="G13" s="11" t="s">
        <v>122</v>
      </c>
      <c r="H13" s="11" t="s">
        <v>123</v>
      </c>
      <c r="I13" s="11" t="s">
        <v>124</v>
      </c>
      <c r="J13" s="11" t="s">
        <v>64</v>
      </c>
      <c r="K13" s="11"/>
      <c r="L13" s="11" t="s">
        <v>125</v>
      </c>
    </row>
    <row r="14" s="4" customFormat="1" ht="57.6" spans="1:12">
      <c r="A14" s="11" t="s">
        <v>126</v>
      </c>
      <c r="B14" s="11" t="s">
        <v>119</v>
      </c>
      <c r="C14" s="11" t="s">
        <v>33</v>
      </c>
      <c r="D14" s="11" t="s">
        <v>127</v>
      </c>
      <c r="E14" s="11" t="s">
        <v>112</v>
      </c>
      <c r="F14" s="11" t="s">
        <v>128</v>
      </c>
      <c r="G14" s="11" t="s">
        <v>129</v>
      </c>
      <c r="H14" s="11" t="s">
        <v>130</v>
      </c>
      <c r="I14" s="11" t="s">
        <v>131</v>
      </c>
      <c r="J14" s="11" t="s">
        <v>64</v>
      </c>
      <c r="K14" s="11"/>
      <c r="L14" s="11" t="s">
        <v>132</v>
      </c>
    </row>
    <row r="15" s="4" customFormat="1" ht="72" spans="1:12">
      <c r="A15" s="11" t="s">
        <v>133</v>
      </c>
      <c r="B15" s="11" t="s">
        <v>134</v>
      </c>
      <c r="C15" s="11" t="s">
        <v>33</v>
      </c>
      <c r="D15" s="11" t="s">
        <v>135</v>
      </c>
      <c r="E15" s="11" t="s">
        <v>59</v>
      </c>
      <c r="F15" s="11" t="s">
        <v>136</v>
      </c>
      <c r="G15" s="11" t="s">
        <v>137</v>
      </c>
      <c r="H15" s="11" t="s">
        <v>138</v>
      </c>
      <c r="I15" s="11" t="s">
        <v>139</v>
      </c>
      <c r="J15" s="11" t="s">
        <v>64</v>
      </c>
      <c r="K15" s="11"/>
      <c r="L15" s="11" t="s">
        <v>140</v>
      </c>
    </row>
    <row r="16" s="4" customFormat="1" ht="57.6" spans="1:12">
      <c r="A16" s="11" t="s">
        <v>141</v>
      </c>
      <c r="B16" s="11" t="s">
        <v>134</v>
      </c>
      <c r="C16" s="11" t="s">
        <v>33</v>
      </c>
      <c r="D16" s="11" t="s">
        <v>142</v>
      </c>
      <c r="E16" s="11" t="s">
        <v>59</v>
      </c>
      <c r="F16" s="11" t="s">
        <v>143</v>
      </c>
      <c r="G16" s="11" t="s">
        <v>144</v>
      </c>
      <c r="H16" s="11" t="s">
        <v>145</v>
      </c>
      <c r="I16" s="11" t="s">
        <v>146</v>
      </c>
      <c r="J16" s="11" t="s">
        <v>64</v>
      </c>
      <c r="K16" s="11"/>
      <c r="L16" s="11" t="s">
        <v>147</v>
      </c>
    </row>
    <row r="17" s="4" customFormat="1" ht="72" spans="1:12">
      <c r="A17" s="11" t="s">
        <v>148</v>
      </c>
      <c r="B17" s="11" t="s">
        <v>149</v>
      </c>
      <c r="C17" s="11" t="s">
        <v>33</v>
      </c>
      <c r="D17" s="11" t="s">
        <v>150</v>
      </c>
      <c r="E17" s="11" t="s">
        <v>59</v>
      </c>
      <c r="F17" s="11" t="s">
        <v>151</v>
      </c>
      <c r="G17" s="11" t="s">
        <v>152</v>
      </c>
      <c r="H17" s="11" t="s">
        <v>153</v>
      </c>
      <c r="I17" s="11" t="s">
        <v>154</v>
      </c>
      <c r="J17" s="11" t="s">
        <v>64</v>
      </c>
      <c r="K17" s="11"/>
      <c r="L17" s="11" t="s">
        <v>155</v>
      </c>
    </row>
    <row r="18" s="4" customFormat="1" ht="72" spans="1:12">
      <c r="A18" s="11" t="s">
        <v>156</v>
      </c>
      <c r="B18" s="11" t="s">
        <v>149</v>
      </c>
      <c r="C18" s="11" t="s">
        <v>33</v>
      </c>
      <c r="D18" s="11" t="s">
        <v>157</v>
      </c>
      <c r="E18" s="11" t="s">
        <v>59</v>
      </c>
      <c r="F18" s="11" t="s">
        <v>158</v>
      </c>
      <c r="G18" s="11" t="s">
        <v>159</v>
      </c>
      <c r="H18" s="11" t="s">
        <v>160</v>
      </c>
      <c r="I18" s="11" t="s">
        <v>161</v>
      </c>
      <c r="J18" s="11" t="s">
        <v>64</v>
      </c>
      <c r="K18" s="11"/>
      <c r="L18" s="11" t="s">
        <v>162</v>
      </c>
    </row>
    <row r="19" s="4" customFormat="1" ht="86.4" spans="1:12">
      <c r="A19" s="11" t="s">
        <v>163</v>
      </c>
      <c r="B19" s="11" t="s">
        <v>164</v>
      </c>
      <c r="C19" s="11" t="s">
        <v>33</v>
      </c>
      <c r="D19" s="11" t="s">
        <v>165</v>
      </c>
      <c r="E19" s="11" t="s">
        <v>59</v>
      </c>
      <c r="F19" s="11" t="s">
        <v>166</v>
      </c>
      <c r="G19" s="11" t="s">
        <v>167</v>
      </c>
      <c r="H19" s="11" t="s">
        <v>168</v>
      </c>
      <c r="I19" s="11" t="s">
        <v>169</v>
      </c>
      <c r="J19" s="11" t="s">
        <v>64</v>
      </c>
      <c r="K19" s="11"/>
      <c r="L19" s="11" t="s">
        <v>170</v>
      </c>
    </row>
    <row r="20" ht="129.6" spans="1:12">
      <c r="A20" s="11" t="s">
        <v>171</v>
      </c>
      <c r="B20" s="11" t="s">
        <v>164</v>
      </c>
      <c r="C20" s="11" t="s">
        <v>33</v>
      </c>
      <c r="D20" s="11" t="s">
        <v>172</v>
      </c>
      <c r="E20" s="11" t="s">
        <v>59</v>
      </c>
      <c r="F20" s="11" t="s">
        <v>173</v>
      </c>
      <c r="G20" s="11" t="s">
        <v>174</v>
      </c>
      <c r="H20" s="11" t="s">
        <v>175</v>
      </c>
      <c r="I20" s="11" t="s">
        <v>176</v>
      </c>
      <c r="J20" s="11" t="s">
        <v>64</v>
      </c>
      <c r="K20" s="11"/>
      <c r="L20" s="11" t="s">
        <v>177</v>
      </c>
    </row>
    <row r="21" ht="57.6" spans="1:12">
      <c r="A21" s="11" t="s">
        <v>178</v>
      </c>
      <c r="B21" s="11" t="s">
        <v>164</v>
      </c>
      <c r="C21" s="11" t="s">
        <v>33</v>
      </c>
      <c r="D21" s="11" t="s">
        <v>179</v>
      </c>
      <c r="E21" s="11" t="s">
        <v>112</v>
      </c>
      <c r="F21" s="11" t="s">
        <v>180</v>
      </c>
      <c r="G21" s="11" t="s">
        <v>181</v>
      </c>
      <c r="H21" s="11" t="s">
        <v>182</v>
      </c>
      <c r="I21" s="11" t="s">
        <v>183</v>
      </c>
      <c r="J21" s="11" t="s">
        <v>64</v>
      </c>
      <c r="K21" s="11"/>
      <c r="L21" s="11" t="s">
        <v>184</v>
      </c>
    </row>
    <row r="22" ht="72" spans="1:12">
      <c r="A22" s="11" t="s">
        <v>185</v>
      </c>
      <c r="B22" s="11" t="s">
        <v>186</v>
      </c>
      <c r="C22" s="11" t="s">
        <v>33</v>
      </c>
      <c r="D22" s="11" t="s">
        <v>187</v>
      </c>
      <c r="E22" s="11" t="s">
        <v>59</v>
      </c>
      <c r="F22" s="11" t="s">
        <v>188</v>
      </c>
      <c r="G22" s="11" t="s">
        <v>189</v>
      </c>
      <c r="H22" s="11" t="s">
        <v>190</v>
      </c>
      <c r="I22" s="11" t="s">
        <v>191</v>
      </c>
      <c r="J22" s="11" t="s">
        <v>64</v>
      </c>
      <c r="K22" s="11"/>
      <c r="L22" s="11" t="s">
        <v>192</v>
      </c>
    </row>
    <row r="23" ht="57.6" spans="1:12">
      <c r="A23" s="11" t="s">
        <v>193</v>
      </c>
      <c r="B23" s="11" t="s">
        <v>194</v>
      </c>
      <c r="C23" s="11" t="s">
        <v>33</v>
      </c>
      <c r="D23" s="11" t="s">
        <v>195</v>
      </c>
      <c r="E23" s="11" t="s">
        <v>59</v>
      </c>
      <c r="F23" s="11" t="s">
        <v>196</v>
      </c>
      <c r="G23" s="11" t="s">
        <v>197</v>
      </c>
      <c r="H23" s="11" t="s">
        <v>198</v>
      </c>
      <c r="I23" s="11" t="s">
        <v>199</v>
      </c>
      <c r="J23" s="11" t="s">
        <v>64</v>
      </c>
      <c r="K23" s="11"/>
      <c r="L23" s="11" t="s">
        <v>200</v>
      </c>
    </row>
    <row r="24" ht="100.8" spans="1:12">
      <c r="A24" s="11" t="s">
        <v>201</v>
      </c>
      <c r="B24" s="11" t="s">
        <v>202</v>
      </c>
      <c r="C24" s="11" t="s">
        <v>33</v>
      </c>
      <c r="D24" s="11" t="s">
        <v>203</v>
      </c>
      <c r="E24" s="11" t="s">
        <v>112</v>
      </c>
      <c r="F24" s="11" t="s">
        <v>204</v>
      </c>
      <c r="G24" s="11" t="s">
        <v>205</v>
      </c>
      <c r="H24" s="11" t="s">
        <v>206</v>
      </c>
      <c r="I24" s="11" t="s">
        <v>207</v>
      </c>
      <c r="J24" s="11" t="s">
        <v>64</v>
      </c>
      <c r="K24" s="11"/>
      <c r="L24" s="11" t="s">
        <v>208</v>
      </c>
    </row>
    <row r="25" ht="43.2" spans="1:12">
      <c r="A25" s="11" t="s">
        <v>209</v>
      </c>
      <c r="B25" s="11" t="s">
        <v>194</v>
      </c>
      <c r="C25" s="11" t="s">
        <v>33</v>
      </c>
      <c r="D25" s="11" t="s">
        <v>210</v>
      </c>
      <c r="E25" s="11" t="s">
        <v>112</v>
      </c>
      <c r="F25" s="11" t="s">
        <v>211</v>
      </c>
      <c r="G25" s="11" t="s">
        <v>212</v>
      </c>
      <c r="H25" s="11" t="s">
        <v>213</v>
      </c>
      <c r="I25" s="11" t="s">
        <v>214</v>
      </c>
      <c r="J25" s="11" t="s">
        <v>64</v>
      </c>
      <c r="K25" s="11"/>
      <c r="L25" s="11" t="s">
        <v>215</v>
      </c>
    </row>
    <row r="26" ht="57.6" spans="1:12">
      <c r="A26" s="11" t="s">
        <v>216</v>
      </c>
      <c r="B26" s="11" t="s">
        <v>217</v>
      </c>
      <c r="C26" s="11" t="s">
        <v>33</v>
      </c>
      <c r="D26" s="11" t="s">
        <v>218</v>
      </c>
      <c r="E26" s="11" t="s">
        <v>112</v>
      </c>
      <c r="F26" s="11" t="s">
        <v>219</v>
      </c>
      <c r="G26" s="11" t="s">
        <v>220</v>
      </c>
      <c r="H26" s="11" t="s">
        <v>221</v>
      </c>
      <c r="I26" s="11" t="s">
        <v>222</v>
      </c>
      <c r="J26" s="11" t="s">
        <v>64</v>
      </c>
      <c r="K26" s="11"/>
      <c r="L26" s="11" t="s">
        <v>223</v>
      </c>
    </row>
    <row r="27" ht="57.6" spans="1:12">
      <c r="A27" s="11" t="s">
        <v>224</v>
      </c>
      <c r="B27" s="11" t="s">
        <v>225</v>
      </c>
      <c r="C27" s="11" t="s">
        <v>33</v>
      </c>
      <c r="D27" s="11" t="s">
        <v>226</v>
      </c>
      <c r="E27" s="11" t="s">
        <v>59</v>
      </c>
      <c r="F27" s="11" t="s">
        <v>227</v>
      </c>
      <c r="G27" s="11" t="s">
        <v>228</v>
      </c>
      <c r="H27" s="11" t="s">
        <v>229</v>
      </c>
      <c r="I27" s="11" t="s">
        <v>230</v>
      </c>
      <c r="J27" s="11" t="s">
        <v>64</v>
      </c>
      <c r="K27" s="11"/>
      <c r="L27" s="11" t="s">
        <v>231</v>
      </c>
    </row>
    <row r="28" ht="72" spans="1:12">
      <c r="A28" s="11" t="s">
        <v>232</v>
      </c>
      <c r="B28" s="11" t="s">
        <v>225</v>
      </c>
      <c r="C28" s="11" t="s">
        <v>33</v>
      </c>
      <c r="D28" s="11" t="s">
        <v>233</v>
      </c>
      <c r="E28" s="11" t="s">
        <v>112</v>
      </c>
      <c r="F28" s="11" t="s">
        <v>234</v>
      </c>
      <c r="G28" s="11" t="s">
        <v>235</v>
      </c>
      <c r="H28" s="11" t="s">
        <v>236</v>
      </c>
      <c r="I28" s="11" t="s">
        <v>237</v>
      </c>
      <c r="J28" s="11" t="s">
        <v>64</v>
      </c>
      <c r="K28" s="11"/>
      <c r="L28" s="11" t="s">
        <v>238</v>
      </c>
    </row>
    <row r="29" ht="72" spans="1:12">
      <c r="A29" s="11" t="s">
        <v>239</v>
      </c>
      <c r="B29" s="11" t="s">
        <v>240</v>
      </c>
      <c r="C29" s="11" t="s">
        <v>33</v>
      </c>
      <c r="D29" s="11" t="s">
        <v>241</v>
      </c>
      <c r="E29" s="11" t="s">
        <v>59</v>
      </c>
      <c r="F29" s="11" t="s">
        <v>242</v>
      </c>
      <c r="G29" s="11" t="s">
        <v>243</v>
      </c>
      <c r="H29" s="11" t="s">
        <v>244</v>
      </c>
      <c r="I29" s="11" t="s">
        <v>245</v>
      </c>
      <c r="J29" s="11" t="s">
        <v>64</v>
      </c>
      <c r="K29" s="11"/>
      <c r="L29" s="11" t="s">
        <v>246</v>
      </c>
    </row>
    <row r="30" ht="43.2" spans="1:12">
      <c r="A30" s="11" t="s">
        <v>247</v>
      </c>
      <c r="B30" s="11" t="s">
        <v>240</v>
      </c>
      <c r="C30" s="11" t="s">
        <v>33</v>
      </c>
      <c r="D30" s="11" t="s">
        <v>248</v>
      </c>
      <c r="E30" s="11" t="s">
        <v>112</v>
      </c>
      <c r="F30" s="11" t="s">
        <v>249</v>
      </c>
      <c r="G30" s="11" t="s">
        <v>250</v>
      </c>
      <c r="H30" s="11" t="s">
        <v>251</v>
      </c>
      <c r="I30" s="11" t="s">
        <v>252</v>
      </c>
      <c r="J30" s="11" t="s">
        <v>64</v>
      </c>
      <c r="K30" s="11"/>
      <c r="L30" s="11" t="s">
        <v>253</v>
      </c>
    </row>
    <row r="31" ht="43.2" spans="1:12">
      <c r="A31" s="11" t="s">
        <v>254</v>
      </c>
      <c r="B31" s="11" t="s">
        <v>240</v>
      </c>
      <c r="C31" s="11" t="s">
        <v>33</v>
      </c>
      <c r="D31" s="11" t="s">
        <v>255</v>
      </c>
      <c r="E31" s="11" t="s">
        <v>59</v>
      </c>
      <c r="F31" s="11" t="s">
        <v>249</v>
      </c>
      <c r="G31" s="11" t="s">
        <v>256</v>
      </c>
      <c r="H31" s="11" t="s">
        <v>257</v>
      </c>
      <c r="I31" s="11" t="s">
        <v>258</v>
      </c>
      <c r="J31" s="11" t="s">
        <v>64</v>
      </c>
      <c r="K31" s="11"/>
      <c r="L31" s="11" t="s">
        <v>259</v>
      </c>
    </row>
    <row r="32" ht="72" spans="1:12">
      <c r="A32" s="11" t="s">
        <v>260</v>
      </c>
      <c r="B32" s="11" t="s">
        <v>261</v>
      </c>
      <c r="C32" s="11" t="s">
        <v>33</v>
      </c>
      <c r="D32" s="11" t="s">
        <v>262</v>
      </c>
      <c r="E32" s="11" t="s">
        <v>59</v>
      </c>
      <c r="F32" s="11" t="s">
        <v>263</v>
      </c>
      <c r="G32" s="11" t="s">
        <v>264</v>
      </c>
      <c r="H32" s="11" t="s">
        <v>265</v>
      </c>
      <c r="I32" s="11" t="s">
        <v>266</v>
      </c>
      <c r="J32" s="11" t="s">
        <v>64</v>
      </c>
      <c r="K32" s="11"/>
      <c r="L32" s="11" t="s">
        <v>267</v>
      </c>
    </row>
    <row r="33" ht="72" spans="1:12">
      <c r="A33" s="11" t="s">
        <v>268</v>
      </c>
      <c r="B33" s="11" t="s">
        <v>269</v>
      </c>
      <c r="C33" s="11" t="s">
        <v>33</v>
      </c>
      <c r="D33" s="11" t="s">
        <v>270</v>
      </c>
      <c r="E33" s="11" t="s">
        <v>59</v>
      </c>
      <c r="F33" s="11" t="s">
        <v>263</v>
      </c>
      <c r="G33" s="11" t="s">
        <v>271</v>
      </c>
      <c r="H33" s="11" t="s">
        <v>272</v>
      </c>
      <c r="I33" s="11" t="s">
        <v>273</v>
      </c>
      <c r="J33" s="11" t="s">
        <v>64</v>
      </c>
      <c r="K33" s="11"/>
      <c r="L33" s="11" t="s">
        <v>267</v>
      </c>
    </row>
    <row r="34" ht="43.2" spans="1:12">
      <c r="A34" s="11" t="s">
        <v>274</v>
      </c>
      <c r="B34" s="11" t="s">
        <v>275</v>
      </c>
      <c r="C34" s="11" t="s">
        <v>33</v>
      </c>
      <c r="D34" s="11" t="s">
        <v>276</v>
      </c>
      <c r="E34" s="11" t="s">
        <v>59</v>
      </c>
      <c r="F34" s="11" t="s">
        <v>277</v>
      </c>
      <c r="G34" s="11" t="s">
        <v>278</v>
      </c>
      <c r="H34" s="11" t="s">
        <v>279</v>
      </c>
      <c r="I34" s="11" t="s">
        <v>280</v>
      </c>
      <c r="J34" s="11" t="s">
        <v>64</v>
      </c>
      <c r="K34" s="11"/>
      <c r="L34" s="11" t="s">
        <v>281</v>
      </c>
    </row>
    <row r="35" ht="43.2" spans="1:12">
      <c r="A35" s="11" t="s">
        <v>282</v>
      </c>
      <c r="B35" s="11" t="s">
        <v>283</v>
      </c>
      <c r="C35" s="11" t="s">
        <v>33</v>
      </c>
      <c r="D35" s="11" t="s">
        <v>284</v>
      </c>
      <c r="E35" s="11" t="s">
        <v>59</v>
      </c>
      <c r="F35" s="11" t="s">
        <v>285</v>
      </c>
      <c r="G35" s="11" t="s">
        <v>286</v>
      </c>
      <c r="H35" s="11" t="s">
        <v>287</v>
      </c>
      <c r="I35" s="11" t="s">
        <v>288</v>
      </c>
      <c r="J35" s="11" t="s">
        <v>64</v>
      </c>
      <c r="K35" s="11"/>
      <c r="L35" s="11" t="s">
        <v>289</v>
      </c>
    </row>
    <row r="36" ht="43.2" spans="1:12">
      <c r="A36" s="11" t="s">
        <v>290</v>
      </c>
      <c r="B36" s="11" t="s">
        <v>291</v>
      </c>
      <c r="C36" s="11" t="s">
        <v>33</v>
      </c>
      <c r="D36" s="11" t="s">
        <v>292</v>
      </c>
      <c r="E36" s="11" t="s">
        <v>112</v>
      </c>
      <c r="F36" s="11" t="s">
        <v>293</v>
      </c>
      <c r="G36" s="11" t="s">
        <v>294</v>
      </c>
      <c r="H36" s="11" t="s">
        <v>295</v>
      </c>
      <c r="I36" s="11" t="s">
        <v>296</v>
      </c>
      <c r="J36" s="11" t="s">
        <v>64</v>
      </c>
      <c r="K36" s="11"/>
      <c r="L36" s="11" t="s">
        <v>297</v>
      </c>
    </row>
    <row r="37" ht="57.6" spans="1:12">
      <c r="A37" s="11" t="s">
        <v>298</v>
      </c>
      <c r="B37" s="11" t="s">
        <v>291</v>
      </c>
      <c r="C37" s="11" t="s">
        <v>33</v>
      </c>
      <c r="D37" s="11" t="s">
        <v>299</v>
      </c>
      <c r="E37" s="11" t="s">
        <v>112</v>
      </c>
      <c r="F37" s="11" t="s">
        <v>300</v>
      </c>
      <c r="G37" s="11" t="s">
        <v>301</v>
      </c>
      <c r="H37" s="11" t="s">
        <v>302</v>
      </c>
      <c r="I37" s="11" t="s">
        <v>303</v>
      </c>
      <c r="J37" s="11" t="s">
        <v>64</v>
      </c>
      <c r="K37" s="11"/>
      <c r="L37" s="11" t="s">
        <v>304</v>
      </c>
    </row>
    <row r="38" ht="57.6" spans="1:12">
      <c r="A38" s="11" t="s">
        <v>305</v>
      </c>
      <c r="B38" s="11" t="s">
        <v>306</v>
      </c>
      <c r="C38" s="11" t="s">
        <v>33</v>
      </c>
      <c r="D38" s="11" t="s">
        <v>307</v>
      </c>
      <c r="E38" s="11" t="s">
        <v>59</v>
      </c>
      <c r="F38" s="11" t="s">
        <v>308</v>
      </c>
      <c r="G38" s="11" t="s">
        <v>309</v>
      </c>
      <c r="H38" s="11" t="s">
        <v>310</v>
      </c>
      <c r="I38" s="11" t="s">
        <v>311</v>
      </c>
      <c r="J38" s="11" t="s">
        <v>64</v>
      </c>
      <c r="K38" s="11"/>
      <c r="L38" s="11" t="s">
        <v>312</v>
      </c>
    </row>
    <row r="39" ht="100.8" spans="1:12">
      <c r="A39" s="11" t="s">
        <v>313</v>
      </c>
      <c r="B39" s="11" t="s">
        <v>314</v>
      </c>
      <c r="C39" s="11" t="s">
        <v>33</v>
      </c>
      <c r="D39" s="11" t="s">
        <v>315</v>
      </c>
      <c r="E39" s="11" t="s">
        <v>59</v>
      </c>
      <c r="F39" s="11" t="s">
        <v>316</v>
      </c>
      <c r="G39" s="11" t="s">
        <v>317</v>
      </c>
      <c r="H39" s="11" t="s">
        <v>318</v>
      </c>
      <c r="I39" s="11" t="s">
        <v>319</v>
      </c>
      <c r="J39" s="11" t="s">
        <v>64</v>
      </c>
      <c r="K39" s="11"/>
      <c r="L39" s="11" t="s">
        <v>320</v>
      </c>
    </row>
    <row r="40" ht="129.6" spans="1:12">
      <c r="A40" s="11" t="s">
        <v>321</v>
      </c>
      <c r="B40" s="11" t="s">
        <v>322</v>
      </c>
      <c r="C40" s="11" t="s">
        <v>33</v>
      </c>
      <c r="D40" s="11" t="s">
        <v>323</v>
      </c>
      <c r="E40" s="11" t="s">
        <v>59</v>
      </c>
      <c r="F40" s="11" t="s">
        <v>324</v>
      </c>
      <c r="G40" s="11" t="s">
        <v>325</v>
      </c>
      <c r="H40" s="11" t="s">
        <v>326</v>
      </c>
      <c r="I40" s="11" t="s">
        <v>327</v>
      </c>
      <c r="J40" s="11" t="s">
        <v>64</v>
      </c>
      <c r="K40" s="11"/>
      <c r="L40" s="11" t="s">
        <v>328</v>
      </c>
    </row>
    <row r="41" ht="100.8" spans="1:12">
      <c r="A41" s="11" t="s">
        <v>329</v>
      </c>
      <c r="B41" s="11" t="s">
        <v>330</v>
      </c>
      <c r="C41" s="11" t="s">
        <v>33</v>
      </c>
      <c r="D41" s="11" t="s">
        <v>331</v>
      </c>
      <c r="E41" s="11" t="s">
        <v>59</v>
      </c>
      <c r="F41" s="11" t="s">
        <v>332</v>
      </c>
      <c r="G41" s="11" t="s">
        <v>333</v>
      </c>
      <c r="H41" s="11" t="s">
        <v>334</v>
      </c>
      <c r="I41" s="11" t="s">
        <v>335</v>
      </c>
      <c r="J41" s="11" t="s">
        <v>64</v>
      </c>
      <c r="K41" s="11"/>
      <c r="L41" s="11" t="s">
        <v>336</v>
      </c>
    </row>
    <row r="42" ht="72" spans="1:12">
      <c r="A42" s="11" t="s">
        <v>337</v>
      </c>
      <c r="B42" s="11" t="s">
        <v>338</v>
      </c>
      <c r="C42" s="11" t="s">
        <v>33</v>
      </c>
      <c r="D42" s="11" t="s">
        <v>339</v>
      </c>
      <c r="E42" s="11" t="s">
        <v>59</v>
      </c>
      <c r="F42" s="11" t="s">
        <v>340</v>
      </c>
      <c r="G42" s="11" t="s">
        <v>341</v>
      </c>
      <c r="H42" s="11" t="s">
        <v>342</v>
      </c>
      <c r="I42" s="11" t="s">
        <v>343</v>
      </c>
      <c r="J42" s="11" t="s">
        <v>64</v>
      </c>
      <c r="K42" s="11"/>
      <c r="L42" s="11" t="s">
        <v>344</v>
      </c>
    </row>
    <row r="43" ht="72" spans="1:12">
      <c r="A43" s="11" t="s">
        <v>345</v>
      </c>
      <c r="B43" s="11" t="s">
        <v>346</v>
      </c>
      <c r="C43" s="11" t="s">
        <v>33</v>
      </c>
      <c r="D43" s="11" t="s">
        <v>347</v>
      </c>
      <c r="E43" s="11" t="s">
        <v>59</v>
      </c>
      <c r="F43" s="11" t="s">
        <v>348</v>
      </c>
      <c r="G43" s="11" t="s">
        <v>349</v>
      </c>
      <c r="H43" s="11" t="s">
        <v>350</v>
      </c>
      <c r="I43" s="11" t="s">
        <v>351</v>
      </c>
      <c r="J43" s="11" t="s">
        <v>64</v>
      </c>
      <c r="K43" s="11"/>
      <c r="L43" s="11" t="s">
        <v>352</v>
      </c>
    </row>
    <row r="44" ht="72" spans="1:12">
      <c r="A44" s="11" t="s">
        <v>353</v>
      </c>
      <c r="B44" s="11" t="s">
        <v>346</v>
      </c>
      <c r="C44" s="11" t="s">
        <v>33</v>
      </c>
      <c r="D44" s="11" t="s">
        <v>354</v>
      </c>
      <c r="E44" s="11" t="s">
        <v>112</v>
      </c>
      <c r="F44" s="11" t="s">
        <v>355</v>
      </c>
      <c r="G44" s="11" t="s">
        <v>356</v>
      </c>
      <c r="H44" s="11" t="s">
        <v>357</v>
      </c>
      <c r="I44" s="11" t="s">
        <v>358</v>
      </c>
      <c r="J44" s="11" t="s">
        <v>64</v>
      </c>
      <c r="K44" s="11"/>
      <c r="L44" s="11" t="s">
        <v>359</v>
      </c>
    </row>
    <row r="45" ht="115.2" spans="1:12">
      <c r="A45" s="11" t="s">
        <v>360</v>
      </c>
      <c r="B45" s="11" t="s">
        <v>361</v>
      </c>
      <c r="C45" s="11" t="s">
        <v>33</v>
      </c>
      <c r="D45" s="11" t="s">
        <v>362</v>
      </c>
      <c r="E45" s="11" t="s">
        <v>59</v>
      </c>
      <c r="F45" s="11" t="s">
        <v>363</v>
      </c>
      <c r="G45" s="11" t="s">
        <v>364</v>
      </c>
      <c r="H45" s="11" t="s">
        <v>365</v>
      </c>
      <c r="I45" s="11" t="s">
        <v>366</v>
      </c>
      <c r="J45" s="11" t="s">
        <v>64</v>
      </c>
      <c r="K45" s="11"/>
      <c r="L45" s="11" t="s">
        <v>367</v>
      </c>
    </row>
    <row r="46" ht="57.6" spans="1:12">
      <c r="A46" s="11" t="s">
        <v>368</v>
      </c>
      <c r="B46" s="11" t="s">
        <v>361</v>
      </c>
      <c r="C46" s="11" t="s">
        <v>33</v>
      </c>
      <c r="D46" s="11" t="s">
        <v>369</v>
      </c>
      <c r="E46" s="11" t="s">
        <v>59</v>
      </c>
      <c r="F46" s="11" t="s">
        <v>370</v>
      </c>
      <c r="G46" s="11" t="s">
        <v>371</v>
      </c>
      <c r="H46" s="11" t="s">
        <v>372</v>
      </c>
      <c r="I46" s="11" t="s">
        <v>373</v>
      </c>
      <c r="J46" s="11" t="s">
        <v>64</v>
      </c>
      <c r="K46" s="11"/>
      <c r="L46" s="11" t="s">
        <v>374</v>
      </c>
    </row>
    <row r="47" ht="86.4" spans="1:12">
      <c r="A47" s="11" t="s">
        <v>375</v>
      </c>
      <c r="B47" s="11" t="s">
        <v>376</v>
      </c>
      <c r="C47" s="11" t="s">
        <v>33</v>
      </c>
      <c r="D47" s="11" t="s">
        <v>377</v>
      </c>
      <c r="E47" s="11" t="s">
        <v>59</v>
      </c>
      <c r="F47" s="11" t="s">
        <v>378</v>
      </c>
      <c r="G47" s="11" t="s">
        <v>379</v>
      </c>
      <c r="H47" s="11" t="s">
        <v>380</v>
      </c>
      <c r="I47" s="11" t="s">
        <v>381</v>
      </c>
      <c r="J47" s="11" t="s">
        <v>64</v>
      </c>
      <c r="K47" s="11"/>
      <c r="L47" s="11" t="s">
        <v>382</v>
      </c>
    </row>
    <row r="48" ht="57.6" spans="1:12">
      <c r="A48" s="11" t="s">
        <v>383</v>
      </c>
      <c r="B48" s="11" t="s">
        <v>376</v>
      </c>
      <c r="C48" s="11" t="s">
        <v>33</v>
      </c>
      <c r="D48" s="11" t="s">
        <v>384</v>
      </c>
      <c r="E48" s="11" t="s">
        <v>59</v>
      </c>
      <c r="F48" s="11" t="s">
        <v>385</v>
      </c>
      <c r="G48" s="11" t="s">
        <v>386</v>
      </c>
      <c r="H48" s="11" t="s">
        <v>387</v>
      </c>
      <c r="I48" s="11" t="s">
        <v>388</v>
      </c>
      <c r="J48" s="11" t="s">
        <v>64</v>
      </c>
      <c r="K48" s="11"/>
      <c r="L48" s="11" t="s">
        <v>389</v>
      </c>
    </row>
    <row r="49" ht="57.6" spans="1:12">
      <c r="A49" s="11" t="s">
        <v>390</v>
      </c>
      <c r="B49" s="11" t="s">
        <v>391</v>
      </c>
      <c r="C49" s="11" t="s">
        <v>33</v>
      </c>
      <c r="D49" s="11" t="s">
        <v>392</v>
      </c>
      <c r="E49" s="11" t="s">
        <v>112</v>
      </c>
      <c r="F49" s="11" t="s">
        <v>393</v>
      </c>
      <c r="G49" s="11" t="s">
        <v>394</v>
      </c>
      <c r="H49" s="11" t="s">
        <v>395</v>
      </c>
      <c r="I49" s="11" t="s">
        <v>396</v>
      </c>
      <c r="J49" s="11" t="s">
        <v>64</v>
      </c>
      <c r="K49" s="11"/>
      <c r="L49" s="11" t="s">
        <v>397</v>
      </c>
    </row>
    <row r="50" ht="57.6" spans="1:12">
      <c r="A50" s="11" t="s">
        <v>398</v>
      </c>
      <c r="B50" s="11" t="s">
        <v>399</v>
      </c>
      <c r="C50" s="11" t="s">
        <v>33</v>
      </c>
      <c r="D50" s="11" t="s">
        <v>400</v>
      </c>
      <c r="E50" s="11" t="s">
        <v>112</v>
      </c>
      <c r="F50" s="11" t="s">
        <v>401</v>
      </c>
      <c r="G50" s="11" t="s">
        <v>402</v>
      </c>
      <c r="H50" s="11" t="s">
        <v>403</v>
      </c>
      <c r="I50" s="11" t="s">
        <v>404</v>
      </c>
      <c r="J50" s="11" t="s">
        <v>64</v>
      </c>
      <c r="K50" s="11"/>
      <c r="L50" s="11" t="s">
        <v>405</v>
      </c>
    </row>
    <row r="51" ht="115.2" spans="1:12">
      <c r="A51" s="11" t="s">
        <v>406</v>
      </c>
      <c r="B51" s="11" t="s">
        <v>407</v>
      </c>
      <c r="C51" s="11" t="s">
        <v>33</v>
      </c>
      <c r="D51" s="11" t="s">
        <v>408</v>
      </c>
      <c r="E51" s="11" t="s">
        <v>59</v>
      </c>
      <c r="F51" s="11" t="s">
        <v>409</v>
      </c>
      <c r="G51" s="11" t="s">
        <v>410</v>
      </c>
      <c r="H51" s="11" t="s">
        <v>411</v>
      </c>
      <c r="I51" s="11" t="s">
        <v>412</v>
      </c>
      <c r="J51" s="11" t="s">
        <v>64</v>
      </c>
      <c r="K51" s="11"/>
      <c r="L51" s="11" t="s">
        <v>413</v>
      </c>
    </row>
    <row r="52" ht="72" spans="1:12">
      <c r="A52" s="11" t="s">
        <v>414</v>
      </c>
      <c r="B52" s="11" t="s">
        <v>407</v>
      </c>
      <c r="C52" s="11" t="s">
        <v>33</v>
      </c>
      <c r="D52" s="11" t="s">
        <v>415</v>
      </c>
      <c r="E52" s="11" t="s">
        <v>59</v>
      </c>
      <c r="F52" s="11" t="s">
        <v>416</v>
      </c>
      <c r="G52" s="11" t="s">
        <v>417</v>
      </c>
      <c r="H52" s="11" t="s">
        <v>418</v>
      </c>
      <c r="I52" s="11" t="s">
        <v>419</v>
      </c>
      <c r="J52" s="11" t="s">
        <v>64</v>
      </c>
      <c r="K52" s="11"/>
      <c r="L52" s="11" t="s">
        <v>420</v>
      </c>
    </row>
    <row r="53" ht="57.6" spans="1:12">
      <c r="A53" s="11" t="s">
        <v>421</v>
      </c>
      <c r="B53" s="11" t="s">
        <v>422</v>
      </c>
      <c r="C53" s="11" t="s">
        <v>33</v>
      </c>
      <c r="D53" s="11" t="s">
        <v>423</v>
      </c>
      <c r="E53" s="11" t="s">
        <v>59</v>
      </c>
      <c r="F53" s="11" t="s">
        <v>424</v>
      </c>
      <c r="G53" s="11" t="s">
        <v>425</v>
      </c>
      <c r="H53" s="11" t="s">
        <v>426</v>
      </c>
      <c r="I53" s="11" t="s">
        <v>427</v>
      </c>
      <c r="J53" s="11" t="s">
        <v>64</v>
      </c>
      <c r="K53" s="11"/>
      <c r="L53" s="11" t="s">
        <v>428</v>
      </c>
    </row>
    <row r="54" ht="144" spans="1:12">
      <c r="A54" s="11" t="s">
        <v>429</v>
      </c>
      <c r="B54" s="11" t="s">
        <v>430</v>
      </c>
      <c r="C54" s="11" t="s">
        <v>33</v>
      </c>
      <c r="D54" s="11" t="s">
        <v>431</v>
      </c>
      <c r="E54" s="11" t="s">
        <v>59</v>
      </c>
      <c r="F54" s="11" t="s">
        <v>432</v>
      </c>
      <c r="G54" s="11" t="s">
        <v>433</v>
      </c>
      <c r="H54" s="11" t="s">
        <v>434</v>
      </c>
      <c r="I54" s="11" t="s">
        <v>435</v>
      </c>
      <c r="J54" s="11" t="s">
        <v>64</v>
      </c>
      <c r="K54" s="11"/>
      <c r="L54" s="11" t="s">
        <v>436</v>
      </c>
    </row>
    <row r="55" ht="72" spans="1:12">
      <c r="A55" s="11" t="s">
        <v>437</v>
      </c>
      <c r="B55" s="11" t="s">
        <v>438</v>
      </c>
      <c r="C55" s="11" t="s">
        <v>33</v>
      </c>
      <c r="D55" s="11" t="s">
        <v>439</v>
      </c>
      <c r="E55" s="11" t="s">
        <v>59</v>
      </c>
      <c r="F55" s="11" t="s">
        <v>440</v>
      </c>
      <c r="G55" s="11" t="s">
        <v>441</v>
      </c>
      <c r="H55" s="11" t="s">
        <v>442</v>
      </c>
      <c r="I55" s="11" t="s">
        <v>443</v>
      </c>
      <c r="J55" s="11" t="s">
        <v>64</v>
      </c>
      <c r="K55" s="11"/>
      <c r="L55" s="11" t="s">
        <v>444</v>
      </c>
    </row>
    <row r="56" ht="57.6" spans="1:12">
      <c r="A56" s="11" t="s">
        <v>445</v>
      </c>
      <c r="B56" s="11" t="s">
        <v>438</v>
      </c>
      <c r="C56" s="11" t="s">
        <v>33</v>
      </c>
      <c r="D56" s="11" t="s">
        <v>446</v>
      </c>
      <c r="E56" s="11" t="s">
        <v>112</v>
      </c>
      <c r="F56" s="11" t="s">
        <v>447</v>
      </c>
      <c r="G56" s="11" t="s">
        <v>448</v>
      </c>
      <c r="H56" s="11" t="s">
        <v>449</v>
      </c>
      <c r="I56" s="11" t="s">
        <v>450</v>
      </c>
      <c r="J56" s="11" t="s">
        <v>64</v>
      </c>
      <c r="K56" s="11"/>
      <c r="L56" s="11" t="s">
        <v>451</v>
      </c>
    </row>
    <row r="57" ht="86.4" spans="1:12">
      <c r="A57" s="11" t="s">
        <v>452</v>
      </c>
      <c r="B57" s="11" t="s">
        <v>453</v>
      </c>
      <c r="C57" s="11" t="s">
        <v>33</v>
      </c>
      <c r="D57" s="11" t="s">
        <v>454</v>
      </c>
      <c r="E57" s="11" t="s">
        <v>112</v>
      </c>
      <c r="F57" s="11" t="s">
        <v>455</v>
      </c>
      <c r="G57" s="11" t="s">
        <v>456</v>
      </c>
      <c r="H57" s="11" t="s">
        <v>457</v>
      </c>
      <c r="I57" s="11" t="s">
        <v>458</v>
      </c>
      <c r="J57" s="11" t="s">
        <v>64</v>
      </c>
      <c r="K57" s="11"/>
      <c r="L57" s="11" t="s">
        <v>459</v>
      </c>
    </row>
    <row r="58" ht="43.2" spans="1:12">
      <c r="A58" s="11" t="s">
        <v>460</v>
      </c>
      <c r="B58" s="11" t="s">
        <v>34</v>
      </c>
      <c r="C58" s="11" t="s">
        <v>34</v>
      </c>
      <c r="D58" s="11" t="s">
        <v>461</v>
      </c>
      <c r="E58" s="11" t="s">
        <v>59</v>
      </c>
      <c r="F58" s="11" t="s">
        <v>462</v>
      </c>
      <c r="G58" s="11" t="s">
        <v>463</v>
      </c>
      <c r="H58" s="11" t="s">
        <v>464</v>
      </c>
      <c r="I58" s="11" t="s">
        <v>465</v>
      </c>
      <c r="J58" s="11" t="s">
        <v>466</v>
      </c>
      <c r="K58" s="11"/>
      <c r="L58" s="11" t="s">
        <v>467</v>
      </c>
    </row>
    <row r="59" ht="43.2" spans="1:12">
      <c r="A59" s="11" t="s">
        <v>468</v>
      </c>
      <c r="B59" s="11" t="s">
        <v>34</v>
      </c>
      <c r="C59" s="11" t="s">
        <v>34</v>
      </c>
      <c r="D59" s="11" t="s">
        <v>469</v>
      </c>
      <c r="E59" s="11" t="s">
        <v>59</v>
      </c>
      <c r="F59" s="11" t="s">
        <v>470</v>
      </c>
      <c r="G59" s="11" t="s">
        <v>471</v>
      </c>
      <c r="H59" s="11" t="s">
        <v>472</v>
      </c>
      <c r="I59" s="11" t="s">
        <v>473</v>
      </c>
      <c r="J59" s="11" t="s">
        <v>466</v>
      </c>
      <c r="K59" s="11"/>
      <c r="L59" s="11" t="s">
        <v>474</v>
      </c>
    </row>
    <row r="60" ht="72" spans="1:12">
      <c r="A60" s="11" t="s">
        <v>475</v>
      </c>
      <c r="B60" s="11" t="s">
        <v>34</v>
      </c>
      <c r="C60" s="11" t="s">
        <v>34</v>
      </c>
      <c r="D60" s="11" t="s">
        <v>476</v>
      </c>
      <c r="E60" s="11" t="s">
        <v>59</v>
      </c>
      <c r="F60" s="11" t="s">
        <v>477</v>
      </c>
      <c r="G60" s="11" t="s">
        <v>478</v>
      </c>
      <c r="H60" s="11" t="s">
        <v>479</v>
      </c>
      <c r="I60" s="11" t="s">
        <v>480</v>
      </c>
      <c r="J60" s="11" t="s">
        <v>64</v>
      </c>
      <c r="K60" s="11"/>
      <c r="L60" s="11" t="s">
        <v>481</v>
      </c>
    </row>
    <row r="61" ht="43.2" spans="1:12">
      <c r="A61" s="11" t="s">
        <v>482</v>
      </c>
      <c r="B61" s="11" t="s">
        <v>35</v>
      </c>
      <c r="C61" s="11" t="s">
        <v>35</v>
      </c>
      <c r="D61" s="11" t="s">
        <v>483</v>
      </c>
      <c r="E61" s="11" t="s">
        <v>59</v>
      </c>
      <c r="F61" s="11" t="s">
        <v>484</v>
      </c>
      <c r="G61" s="11" t="s">
        <v>485</v>
      </c>
      <c r="H61" s="11" t="s">
        <v>486</v>
      </c>
      <c r="I61" s="11" t="s">
        <v>487</v>
      </c>
      <c r="J61" s="11" t="s">
        <v>466</v>
      </c>
      <c r="K61" s="11"/>
      <c r="L61" s="11" t="s">
        <v>488</v>
      </c>
    </row>
    <row r="62" ht="115.2" spans="1:12">
      <c r="A62" s="11" t="s">
        <v>489</v>
      </c>
      <c r="B62" s="11" t="s">
        <v>35</v>
      </c>
      <c r="C62" s="11" t="s">
        <v>35</v>
      </c>
      <c r="D62" s="11" t="s">
        <v>490</v>
      </c>
      <c r="E62" s="11" t="s">
        <v>59</v>
      </c>
      <c r="F62" s="11" t="s">
        <v>491</v>
      </c>
      <c r="G62" s="11" t="s">
        <v>492</v>
      </c>
      <c r="H62" s="11" t="s">
        <v>493</v>
      </c>
      <c r="I62" s="11" t="s">
        <v>494</v>
      </c>
      <c r="J62" s="11" t="s">
        <v>64</v>
      </c>
      <c r="K62" s="11"/>
      <c r="L62" s="11" t="s">
        <v>495</v>
      </c>
    </row>
    <row r="63" ht="43.2" spans="1:12">
      <c r="A63" s="11" t="s">
        <v>496</v>
      </c>
      <c r="B63" s="11" t="s">
        <v>35</v>
      </c>
      <c r="C63" s="11" t="s">
        <v>35</v>
      </c>
      <c r="D63" s="11" t="s">
        <v>497</v>
      </c>
      <c r="E63" s="11" t="s">
        <v>112</v>
      </c>
      <c r="F63" s="11" t="s">
        <v>498</v>
      </c>
      <c r="G63" s="11" t="s">
        <v>499</v>
      </c>
      <c r="H63" s="11" t="s">
        <v>500</v>
      </c>
      <c r="I63" s="11" t="s">
        <v>501</v>
      </c>
      <c r="J63" s="11" t="s">
        <v>64</v>
      </c>
      <c r="K63" s="11"/>
      <c r="L63" s="11" t="s">
        <v>502</v>
      </c>
    </row>
    <row r="64" ht="86.4" spans="1:12">
      <c r="A64" s="11" t="s">
        <v>503</v>
      </c>
      <c r="B64" s="11" t="s">
        <v>36</v>
      </c>
      <c r="C64" s="11" t="s">
        <v>36</v>
      </c>
      <c r="D64" s="11" t="s">
        <v>504</v>
      </c>
      <c r="E64" s="11" t="s">
        <v>59</v>
      </c>
      <c r="F64" s="11" t="s">
        <v>505</v>
      </c>
      <c r="G64" s="11" t="s">
        <v>506</v>
      </c>
      <c r="H64" s="11" t="s">
        <v>507</v>
      </c>
      <c r="I64" s="11" t="s">
        <v>508</v>
      </c>
      <c r="J64" s="11" t="s">
        <v>64</v>
      </c>
      <c r="K64" s="11"/>
      <c r="L64" s="11" t="s">
        <v>509</v>
      </c>
    </row>
    <row r="65" ht="158.4" spans="1:12">
      <c r="A65" s="11" t="s">
        <v>510</v>
      </c>
      <c r="B65" s="11" t="s">
        <v>36</v>
      </c>
      <c r="C65" s="11" t="s">
        <v>36</v>
      </c>
      <c r="D65" s="11" t="s">
        <v>511</v>
      </c>
      <c r="E65" s="11" t="s">
        <v>59</v>
      </c>
      <c r="F65" s="11" t="s">
        <v>512</v>
      </c>
      <c r="G65" s="11" t="s">
        <v>513</v>
      </c>
      <c r="H65" s="11" t="s">
        <v>514</v>
      </c>
      <c r="I65" s="11" t="s">
        <v>515</v>
      </c>
      <c r="J65" s="11" t="s">
        <v>64</v>
      </c>
      <c r="K65" s="11"/>
      <c r="L65" s="11" t="s">
        <v>516</v>
      </c>
    </row>
    <row r="66" ht="115.2" spans="1:12">
      <c r="A66" s="11" t="s">
        <v>517</v>
      </c>
      <c r="B66" s="11" t="s">
        <v>36</v>
      </c>
      <c r="C66" s="11" t="s">
        <v>36</v>
      </c>
      <c r="D66" s="11" t="s">
        <v>518</v>
      </c>
      <c r="E66" s="11" t="s">
        <v>59</v>
      </c>
      <c r="F66" s="11" t="s">
        <v>512</v>
      </c>
      <c r="G66" s="11" t="s">
        <v>519</v>
      </c>
      <c r="H66" s="11" t="s">
        <v>520</v>
      </c>
      <c r="I66" s="11" t="s">
        <v>521</v>
      </c>
      <c r="J66" s="11" t="s">
        <v>64</v>
      </c>
      <c r="K66" s="11"/>
      <c r="L66" s="11" t="s">
        <v>522</v>
      </c>
    </row>
    <row r="67" ht="72" spans="1:12">
      <c r="A67" s="11" t="s">
        <v>523</v>
      </c>
      <c r="B67" s="11" t="s">
        <v>36</v>
      </c>
      <c r="C67" s="11" t="s">
        <v>36</v>
      </c>
      <c r="D67" s="11" t="s">
        <v>524</v>
      </c>
      <c r="E67" s="11" t="s">
        <v>59</v>
      </c>
      <c r="F67" s="11" t="s">
        <v>525</v>
      </c>
      <c r="G67" s="11" t="s">
        <v>526</v>
      </c>
      <c r="H67" s="11" t="s">
        <v>527</v>
      </c>
      <c r="I67" s="11" t="s">
        <v>528</v>
      </c>
      <c r="J67" s="11" t="s">
        <v>64</v>
      </c>
      <c r="K67" s="11"/>
      <c r="L67" s="11" t="s">
        <v>529</v>
      </c>
    </row>
    <row r="68" ht="129.6" spans="1:12">
      <c r="A68" s="11" t="s">
        <v>530</v>
      </c>
      <c r="B68" s="11" t="s">
        <v>36</v>
      </c>
      <c r="C68" s="11" t="s">
        <v>36</v>
      </c>
      <c r="D68" s="11" t="s">
        <v>531</v>
      </c>
      <c r="E68" s="11" t="s">
        <v>59</v>
      </c>
      <c r="F68" s="11" t="s">
        <v>532</v>
      </c>
      <c r="G68" s="11" t="s">
        <v>533</v>
      </c>
      <c r="H68" s="11" t="s">
        <v>534</v>
      </c>
      <c r="I68" s="11" t="s">
        <v>535</v>
      </c>
      <c r="J68" s="11" t="s">
        <v>64</v>
      </c>
      <c r="K68" s="11"/>
      <c r="L68" s="11" t="s">
        <v>536</v>
      </c>
    </row>
    <row r="69" ht="72" spans="1:12">
      <c r="A69" s="11" t="s">
        <v>537</v>
      </c>
      <c r="B69" s="11" t="s">
        <v>37</v>
      </c>
      <c r="C69" s="11" t="s">
        <v>37</v>
      </c>
      <c r="D69" s="11" t="s">
        <v>538</v>
      </c>
      <c r="E69" s="11" t="s">
        <v>59</v>
      </c>
      <c r="F69" s="11" t="s">
        <v>512</v>
      </c>
      <c r="G69" s="11" t="s">
        <v>539</v>
      </c>
      <c r="H69" s="11" t="s">
        <v>540</v>
      </c>
      <c r="I69" s="11" t="s">
        <v>541</v>
      </c>
      <c r="J69" s="11" t="s">
        <v>64</v>
      </c>
      <c r="K69" s="11"/>
      <c r="L69" s="11" t="s">
        <v>542</v>
      </c>
    </row>
    <row r="70" ht="144" spans="1:12">
      <c r="A70" s="11" t="s">
        <v>543</v>
      </c>
      <c r="B70" s="11" t="s">
        <v>37</v>
      </c>
      <c r="C70" s="11" t="s">
        <v>37</v>
      </c>
      <c r="D70" s="11" t="s">
        <v>544</v>
      </c>
      <c r="E70" s="11" t="s">
        <v>59</v>
      </c>
      <c r="F70" s="11" t="s">
        <v>512</v>
      </c>
      <c r="G70" s="11" t="s">
        <v>545</v>
      </c>
      <c r="H70" s="11" t="s">
        <v>546</v>
      </c>
      <c r="I70" s="11" t="s">
        <v>547</v>
      </c>
      <c r="J70" s="11" t="s">
        <v>64</v>
      </c>
      <c r="K70" s="11"/>
      <c r="L70" s="11" t="s">
        <v>548</v>
      </c>
    </row>
    <row r="71" ht="158.4" spans="1:12">
      <c r="A71" s="11" t="s">
        <v>549</v>
      </c>
      <c r="B71" s="11" t="s">
        <v>37</v>
      </c>
      <c r="C71" s="11" t="s">
        <v>37</v>
      </c>
      <c r="D71" s="11" t="s">
        <v>550</v>
      </c>
      <c r="E71" s="11" t="s">
        <v>112</v>
      </c>
      <c r="F71" s="11" t="s">
        <v>512</v>
      </c>
      <c r="G71" s="11" t="s">
        <v>551</v>
      </c>
      <c r="H71" s="11" t="s">
        <v>552</v>
      </c>
      <c r="I71" s="11" t="s">
        <v>553</v>
      </c>
      <c r="J71" s="11" t="s">
        <v>64</v>
      </c>
      <c r="K71" s="11"/>
      <c r="L71" s="11" t="s">
        <v>554</v>
      </c>
    </row>
    <row r="72" ht="57.6" spans="1:12">
      <c r="A72" s="11" t="s">
        <v>555</v>
      </c>
      <c r="B72" s="11" t="s">
        <v>38</v>
      </c>
      <c r="C72" s="11" t="s">
        <v>38</v>
      </c>
      <c r="D72" s="11" t="s">
        <v>556</v>
      </c>
      <c r="E72" s="11" t="s">
        <v>112</v>
      </c>
      <c r="F72" s="11" t="s">
        <v>512</v>
      </c>
      <c r="G72" s="11" t="s">
        <v>557</v>
      </c>
      <c r="H72" s="11" t="s">
        <v>558</v>
      </c>
      <c r="I72" s="11" t="s">
        <v>559</v>
      </c>
      <c r="J72" s="11" t="s">
        <v>64</v>
      </c>
      <c r="K72" s="11"/>
      <c r="L72" s="11" t="s">
        <v>560</v>
      </c>
    </row>
    <row r="73" ht="57.6" spans="1:12">
      <c r="A73" s="11" t="s">
        <v>561</v>
      </c>
      <c r="B73" s="11" t="s">
        <v>38</v>
      </c>
      <c r="C73" s="11" t="s">
        <v>38</v>
      </c>
      <c r="D73" s="11" t="s">
        <v>562</v>
      </c>
      <c r="E73" s="11" t="s">
        <v>112</v>
      </c>
      <c r="F73" s="11" t="s">
        <v>512</v>
      </c>
      <c r="G73" s="11" t="s">
        <v>563</v>
      </c>
      <c r="H73" s="11" t="s">
        <v>564</v>
      </c>
      <c r="I73" s="11" t="s">
        <v>565</v>
      </c>
      <c r="J73" s="11" t="s">
        <v>466</v>
      </c>
      <c r="K73" s="11"/>
      <c r="L73" s="11" t="s">
        <v>566</v>
      </c>
    </row>
    <row r="74" ht="129.6" spans="1:12">
      <c r="A74" s="11" t="s">
        <v>567</v>
      </c>
      <c r="B74" s="11" t="s">
        <v>38</v>
      </c>
      <c r="C74" s="11" t="s">
        <v>38</v>
      </c>
      <c r="D74" s="11" t="s">
        <v>568</v>
      </c>
      <c r="E74" s="11" t="s">
        <v>569</v>
      </c>
      <c r="F74" s="11" t="s">
        <v>570</v>
      </c>
      <c r="G74" s="11" t="s">
        <v>571</v>
      </c>
      <c r="H74" s="11" t="s">
        <v>572</v>
      </c>
      <c r="I74" s="11" t="s">
        <v>573</v>
      </c>
      <c r="J74" s="11" t="s">
        <v>64</v>
      </c>
      <c r="K74" s="11"/>
      <c r="L74" s="11" t="s">
        <v>574</v>
      </c>
    </row>
    <row r="75" ht="144" spans="1:12">
      <c r="A75" s="11" t="s">
        <v>575</v>
      </c>
      <c r="B75" s="11" t="s">
        <v>39</v>
      </c>
      <c r="C75" s="11" t="s">
        <v>39</v>
      </c>
      <c r="D75" s="11" t="s">
        <v>576</v>
      </c>
      <c r="E75" s="11" t="s">
        <v>59</v>
      </c>
      <c r="F75" s="11" t="s">
        <v>577</v>
      </c>
      <c r="G75" s="11" t="s">
        <v>578</v>
      </c>
      <c r="H75" s="11" t="s">
        <v>579</v>
      </c>
      <c r="I75" s="11" t="s">
        <v>580</v>
      </c>
      <c r="J75" s="11" t="s">
        <v>64</v>
      </c>
      <c r="K75" s="11"/>
      <c r="L75" s="11" t="s">
        <v>581</v>
      </c>
    </row>
    <row r="76" ht="158.4" spans="1:12">
      <c r="A76" s="11" t="s">
        <v>582</v>
      </c>
      <c r="B76" s="11" t="s">
        <v>39</v>
      </c>
      <c r="C76" s="11" t="s">
        <v>39</v>
      </c>
      <c r="D76" s="11" t="s">
        <v>583</v>
      </c>
      <c r="E76" s="11" t="s">
        <v>59</v>
      </c>
      <c r="F76" s="11" t="s">
        <v>584</v>
      </c>
      <c r="G76" s="11" t="s">
        <v>585</v>
      </c>
      <c r="H76" s="11" t="s">
        <v>586</v>
      </c>
      <c r="I76" s="11" t="s">
        <v>587</v>
      </c>
      <c r="J76" s="11" t="s">
        <v>64</v>
      </c>
      <c r="K76" s="11"/>
      <c r="L76" s="11" t="s">
        <v>588</v>
      </c>
    </row>
  </sheetData>
  <mergeCells count="1">
    <mergeCell ref="A1:L3"/>
  </mergeCells>
  <dataValidations count="3">
    <dataValidation type="list" allowBlank="1" showInputMessage="1" showErrorMessage="1" sqref="J4">
      <formula1>$V$5:$V$5</formula1>
    </dataValidation>
    <dataValidation type="list" allowBlank="1" showInputMessage="1" showErrorMessage="1" sqref="C1:C4 C77:C1048576">
      <formula1>"功能测试,性能测试,可靠性测试,安全性测试,兼容性测试,易用性测试,部署测试"</formula1>
    </dataValidation>
    <dataValidation type="list" allowBlank="1" showInputMessage="1" showErrorMessage="1" sqref="J77:J64559">
      <formula1>"Y,N"</formula1>
    </dataValidation>
  </dataValidations>
  <hyperlinks>
    <hyperlink ref="G5" r:id="rId1" display="1. 点击&quot;注册&quot;进入注册页面2. 输入用户名 &quot;studentA&quot;，邮箱 &quot;studentA@university.edu.cn&quot;，密码 &quot;BioNote@123&quot;，重复密码 &quot;BioNote@123&quot;3. 点击&quot;注册&quot;" tooltip="mailto:studentA@university.edu.cn"/>
    <hyperlink ref="G7" r:id="rId1" display="1. 进入登录页面2. 输入邮箱 &quot;studentA@university.edu.cn&quot;，密码 &quot;BioNote@123&quot;3. 点击&quot;登录&quot;" tooltip="mailto:studentA@university.edu.cn"/>
    <hyperlink ref="G8" r:id="rId1" display="1. 输入邮箱 &quot;studentA@university.edu.cn&quot;，密码 &quot;wrongPass&quot;2. 点击&quot;登录&quot;" tooltip="mailto:studentA@university.edu.cn"/>
    <hyperlink ref="G14" r:id="rId2" display="1. 用户 A 输入未注册邮箱 &quot;unknown@university.edu.cn&quot;，点击&quot;邀请&quot;" tooltip="mailto:unknown@university.edu.cn"/>
  </hyperlinks>
  <pageMargins left="0.75" right="0.75" top="1" bottom="1" header="0.5" footer="0.5"/>
  <pageSetup paperSize="9" orientation="portrait" horizontalDpi="1200" verticalDpi="12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zoomScale="90" zoomScaleNormal="90" workbookViewId="0">
      <selection activeCell="C1" sqref="C1"/>
    </sheetView>
  </sheetViews>
  <sheetFormatPr defaultColWidth="9" defaultRowHeight="14.4" outlineLevelRow="7" outlineLevelCol="2"/>
  <cols>
    <col min="1" max="1" width="17" style="1" customWidth="1"/>
    <col min="2" max="2" width="76.6083333333333" style="1" customWidth="1"/>
    <col min="3" max="3" width="62.775" style="1" customWidth="1"/>
    <col min="4" max="16384" width="9" style="1"/>
  </cols>
  <sheetData>
    <row r="1" ht="20.45" customHeight="1" spans="1:3">
      <c r="A1" s="2" t="s">
        <v>589</v>
      </c>
      <c r="B1" s="2" t="s">
        <v>590</v>
      </c>
      <c r="C1" s="2" t="s">
        <v>591</v>
      </c>
    </row>
    <row r="2" ht="98" customHeight="1" spans="1:3">
      <c r="A2" s="3" t="s">
        <v>33</v>
      </c>
      <c r="B2" s="3" t="s">
        <v>592</v>
      </c>
      <c r="C2" s="3" t="s">
        <v>593</v>
      </c>
    </row>
    <row r="3" ht="94" customHeight="1" spans="1:3">
      <c r="A3" s="3" t="s">
        <v>34</v>
      </c>
      <c r="B3" s="3" t="s">
        <v>594</v>
      </c>
      <c r="C3" s="3" t="s">
        <v>595</v>
      </c>
    </row>
    <row r="4" ht="71" customHeight="1" spans="1:3">
      <c r="A4" s="3" t="s">
        <v>35</v>
      </c>
      <c r="B4" s="3" t="s">
        <v>596</v>
      </c>
      <c r="C4" s="3" t="s">
        <v>597</v>
      </c>
    </row>
    <row r="5" ht="78" customHeight="1" spans="1:3">
      <c r="A5" s="3" t="s">
        <v>36</v>
      </c>
      <c r="B5" s="3" t="s">
        <v>598</v>
      </c>
      <c r="C5" s="3" t="s">
        <v>599</v>
      </c>
    </row>
    <row r="6" ht="86" customHeight="1" spans="1:3">
      <c r="A6" s="3" t="s">
        <v>37</v>
      </c>
      <c r="B6" s="3" t="s">
        <v>600</v>
      </c>
      <c r="C6" s="3" t="s">
        <v>601</v>
      </c>
    </row>
    <row r="7" ht="73" customHeight="1" spans="1:3">
      <c r="A7" s="3" t="s">
        <v>38</v>
      </c>
      <c r="B7" s="3" t="s">
        <v>602</v>
      </c>
      <c r="C7" s="3" t="s">
        <v>603</v>
      </c>
    </row>
    <row r="8" ht="97" customHeight="1" spans="1:3">
      <c r="A8" s="3" t="s">
        <v>39</v>
      </c>
      <c r="B8" s="3" t="s">
        <v>604</v>
      </c>
      <c r="C8" s="3" t="s">
        <v>605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</vt:lpstr>
      <vt:lpstr>Test Cases</vt:lpstr>
      <vt:lpstr>常用测试方法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bjshen</dc:creator>
  <cp:lastModifiedBy>金钰豪</cp:lastModifiedBy>
  <dcterms:created xsi:type="dcterms:W3CDTF">2012-04-21T07:17:00Z</dcterms:created>
  <dcterms:modified xsi:type="dcterms:W3CDTF">2026-07-28T13:52:34Z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17CBC03F1323430AAFA1F6A82B24BA78_12</vt:lpwstr>
  </property>
  <property fmtid="{D5CDD505-2E9C-101B-9397-08002B2CF9AE}" pid="3" name="KSOProductBuildVer">
    <vt:lpwstr>2052-12.1.0.19302</vt:lpwstr>
  </property>
</Properties>
</file>